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Чек-лист провер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pivotButton="0" quotePrefix="0" xfId="0"/>
    <xf numFmtId="0" fontId="3" fillId="3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8" customWidth="1" min="1" max="1"/>
    <col width="45" customWidth="1" min="2" max="2"/>
    <col width="60" customWidth="1" min="3" max="3"/>
    <col width="15" customWidth="1" min="4" max="4"/>
    <col width="15" customWidth="1" min="5" max="5"/>
    <col width="35" customWidth="1" min="6" max="6"/>
    <col width="20" customWidth="1" min="7" max="7"/>
  </cols>
  <sheetData>
    <row r="1">
      <c r="A1" s="1" t="inlineStr">
        <is>
          <t>ЧЕК-ЛИСТ ДОПОЛНИТЕЛЬНОЙ ПРОВЕРКИ КЛИЕНТА</t>
        </is>
      </c>
    </row>
    <row r="2">
      <c r="A2" s="2" t="inlineStr">
        <is>
          <t>№</t>
        </is>
      </c>
      <c r="B2" s="2" t="inlineStr">
        <is>
          <t>Проверка / Вопрос</t>
        </is>
      </c>
      <c r="C2" s="2" t="inlineStr">
        <is>
          <t>Скрипт / Вопрос сотрудника</t>
        </is>
      </c>
      <c r="D2" s="2" t="inlineStr">
        <is>
          <t>Ответ</t>
        </is>
      </c>
      <c r="E2" s="2" t="inlineStr">
        <is>
          <t>Баллы риска</t>
        </is>
      </c>
      <c r="F2" s="2" t="inlineStr">
        <is>
          <t>Комментарий</t>
        </is>
      </c>
      <c r="G2" s="2" t="inlineStr">
        <is>
          <t>Статус</t>
        </is>
      </c>
    </row>
    <row r="3">
      <c r="A3" s="3" t="inlineStr">
        <is>
          <t>Блок A — Осознанность кредита</t>
        </is>
      </c>
      <c r="B3" s="3" t="inlineStr"/>
      <c r="D3" s="3" t="inlineStr"/>
      <c r="E3" s="3" t="inlineStr"/>
      <c r="F3" s="3" t="inlineStr"/>
      <c r="G3" s="3" t="inlineStr"/>
    </row>
    <row r="4">
      <c r="A4" t="n">
        <v>1</v>
      </c>
      <c r="B4" t="inlineStr">
        <is>
          <t>Клиент понимает цель кредита</t>
        </is>
      </c>
      <c r="C4" t="inlineStr">
        <is>
          <t>Подскажите, пожалуйста, для каких целей вы оформляете кредит?</t>
        </is>
      </c>
      <c r="E4" t="n">
        <v>0</v>
      </c>
      <c r="G4">
        <f>IF(D4="Да","Риск","OK")</f>
        <v/>
      </c>
    </row>
    <row r="5">
      <c r="A5" t="n">
        <v>2</v>
      </c>
      <c r="B5" t="inlineStr">
        <is>
          <t>Клиент знает сумму кредита</t>
        </is>
      </c>
      <c r="C5" t="inlineStr">
        <is>
          <t>Какая сумма кредита вам необходима и как вы планируете ее использовать?</t>
        </is>
      </c>
      <c r="E5" t="n">
        <v>0</v>
      </c>
      <c r="G5">
        <f>IF(D5="Да","Риск","OK")</f>
        <v/>
      </c>
    </row>
    <row r="6">
      <c r="A6" t="n">
        <v>3</v>
      </c>
      <c r="B6" t="inlineStr">
        <is>
          <t>Клиент знает ежемесячный платеж</t>
        </is>
      </c>
      <c r="C6" t="inlineStr">
        <is>
          <t>Понимаете ли вы размер ежемесячного платежа и срок кредита?</t>
        </is>
      </c>
      <c r="E6" t="n">
        <v>0</v>
      </c>
      <c r="G6">
        <f>IF(D6="Да","Риск","OK")</f>
        <v/>
      </c>
    </row>
    <row r="7">
      <c r="A7" t="n">
        <v>4</v>
      </c>
      <c r="B7" t="inlineStr">
        <is>
          <t>Клиент может объяснить источник погашения</t>
        </is>
      </c>
      <c r="C7" t="inlineStr">
        <is>
          <t>За счет каких доходов вы планируете погашать кредит?</t>
        </is>
      </c>
      <c r="E7" t="n">
        <v>0</v>
      </c>
      <c r="G7">
        <f>IF(D7="Да","Риск","OK")</f>
        <v/>
      </c>
    </row>
    <row r="8">
      <c r="A8" s="3" t="inlineStr">
        <is>
          <t>Блок B — Признаки воздействия мошенников</t>
        </is>
      </c>
      <c r="B8" s="3" t="inlineStr"/>
      <c r="D8" s="3" t="inlineStr"/>
      <c r="E8" s="3" t="inlineStr"/>
      <c r="F8" s="3" t="inlineStr"/>
      <c r="G8" s="3" t="inlineStr"/>
    </row>
    <row r="9">
      <c r="A9" t="n">
        <v>5</v>
      </c>
      <c r="B9" t="inlineStr">
        <is>
          <t>Клиент получает указания по телефону</t>
        </is>
      </c>
      <c r="C9" t="inlineStr">
        <is>
          <t>Подскажите, пожалуйста, вы сейчас с кем-то консультируетесь по оформлению кредита?</t>
        </is>
      </c>
      <c r="E9" t="n">
        <v>100</v>
      </c>
      <c r="G9">
        <f>IF(D9="Да","Риск","OK")</f>
        <v/>
      </c>
    </row>
    <row r="10">
      <c r="A10" t="n">
        <v>6</v>
      </c>
      <c r="B10" t="inlineStr">
        <is>
          <t>Клиенту звонили от имени банка/полиции/ЦБ</t>
        </is>
      </c>
      <c r="C10" t="inlineStr">
        <is>
          <t>Вам кто-нибудь звонил от имени банка, полиции, ЦБ или службы безопасности?</t>
        </is>
      </c>
      <c r="E10" t="n">
        <v>80</v>
      </c>
      <c r="G10">
        <f>IF(D10="Да","Риск","OK")</f>
        <v/>
      </c>
    </row>
    <row r="11">
      <c r="A11" t="n">
        <v>7</v>
      </c>
      <c r="B11" t="inlineStr">
        <is>
          <t>Клиента просили перевести деньги</t>
        </is>
      </c>
      <c r="C11" t="inlineStr">
        <is>
          <t>Вас просили после получения кредита перевести деньги или снять наличные?</t>
        </is>
      </c>
      <c r="E11" t="n">
        <v>100</v>
      </c>
      <c r="G11">
        <f>IF(D11="Да","Риск","OK")</f>
        <v/>
      </c>
    </row>
    <row r="12">
      <c r="A12" t="n">
        <v>8</v>
      </c>
      <c r="B12" t="inlineStr">
        <is>
          <t>Клиент говорит шаблонными фразами</t>
        </is>
      </c>
      <c r="C12" t="inlineStr">
        <is>
          <t>Кто посоветовал вам оформить данный кредит?</t>
        </is>
      </c>
      <c r="E12" t="n">
        <v>30</v>
      </c>
      <c r="G12">
        <f>IF(D12="Да","Риск","OK")</f>
        <v/>
      </c>
    </row>
    <row r="13">
      <c r="A13" t="n">
        <v>9</v>
      </c>
      <c r="B13" t="inlineStr">
        <is>
          <t>Клиенту говорили никому не рассказывать</t>
        </is>
      </c>
      <c r="C13" t="inlineStr">
        <is>
          <t>Вам говорили никому не рассказывать о цели кредита или разговоре?</t>
        </is>
      </c>
      <c r="E13" t="n">
        <v>100</v>
      </c>
      <c r="G13">
        <f>IF(D13="Да","Риск","OK")</f>
        <v/>
      </c>
    </row>
    <row r="14">
      <c r="A14" s="3" t="inlineStr">
        <is>
          <t>Блок C — Поведенческие признаки</t>
        </is>
      </c>
      <c r="B14" s="3" t="inlineStr"/>
      <c r="D14" s="3" t="inlineStr"/>
      <c r="E14" s="3" t="inlineStr"/>
      <c r="F14" s="3" t="inlineStr"/>
      <c r="G14" s="3" t="inlineStr"/>
    </row>
    <row r="15">
      <c r="A15" t="n">
        <v>10</v>
      </c>
      <c r="B15" t="inlineStr">
        <is>
          <t>Клиент нервничает</t>
        </is>
      </c>
      <c r="C15" t="inlineStr">
        <is>
          <t>Уточните, пожалуйста, все ли вам понятно по условиям кредита?</t>
        </is>
      </c>
      <c r="E15" t="n">
        <v>20</v>
      </c>
      <c r="G15">
        <f>IF(D15="Да","Риск","OK")</f>
        <v/>
      </c>
    </row>
    <row r="16">
      <c r="A16" t="n">
        <v>11</v>
      </c>
      <c r="B16" t="inlineStr">
        <is>
          <t>Клиент торопит оформление</t>
        </is>
      </c>
      <c r="C16" t="inlineStr">
        <is>
          <t>Есть ли причина, по которой оформление нужно завершить срочно сегодня?</t>
        </is>
      </c>
      <c r="E16" t="n">
        <v>30</v>
      </c>
      <c r="G16">
        <f>IF(D16="Да","Риск","OK")</f>
        <v/>
      </c>
    </row>
    <row r="17">
      <c r="A17" t="n">
        <v>12</v>
      </c>
      <c r="B17" t="inlineStr">
        <is>
          <t>Клиент путается в ответах</t>
        </is>
      </c>
      <c r="C17" t="inlineStr">
        <is>
          <t>Можете еще раз кратко рассказать цель кредита?</t>
        </is>
      </c>
      <c r="E17" t="n">
        <v>40</v>
      </c>
      <c r="G17">
        <f>IF(D17="Да","Риск","OK")</f>
        <v/>
      </c>
    </row>
    <row r="18">
      <c r="A18" t="n">
        <v>13</v>
      </c>
      <c r="B18" t="inlineStr">
        <is>
          <t>Клиент читает ответы с телефона</t>
        </is>
      </c>
      <c r="C18" t="inlineStr">
        <is>
          <t>Вы самостоятельно отвечаете на вопросы или кто-то помогает вам?</t>
        </is>
      </c>
      <c r="E18" t="n">
        <v>60</v>
      </c>
      <c r="G18">
        <f>IF(D18="Да","Риск","OK")</f>
        <v/>
      </c>
    </row>
    <row r="19">
      <c r="A19" t="n">
        <v>14</v>
      </c>
      <c r="B19" t="inlineStr">
        <is>
          <t>Есть сопровождающее лицо</t>
        </is>
      </c>
      <c r="C19" t="inlineStr">
        <is>
          <t>Есть ли у вас действующие кредиты или недавние обращения за кредитами?</t>
        </is>
      </c>
      <c r="E19" t="n">
        <v>80</v>
      </c>
      <c r="G19">
        <f>IF(D19="Да","Риск","OK")</f>
        <v/>
      </c>
    </row>
    <row r="20">
      <c r="A20" s="3" t="inlineStr">
        <is>
          <t>Блок D — Финансовые признаки</t>
        </is>
      </c>
      <c r="B20" s="3" t="inlineStr"/>
      <c r="C20" t="inlineStr">
        <is>
          <t>Ранее вы уже подавали заявки в другие банки или МФО?</t>
        </is>
      </c>
      <c r="D20" s="3" t="inlineStr"/>
      <c r="E20" s="3" t="inlineStr"/>
      <c r="F20" s="3" t="inlineStr"/>
      <c r="G20" s="3" t="inlineStr"/>
    </row>
    <row r="21">
      <c r="A21" t="n">
        <v>15</v>
      </c>
      <c r="B21" t="inlineStr">
        <is>
          <t>Есть несколько недавних кредитов</t>
        </is>
      </c>
      <c r="C21" t="inlineStr">
        <is>
          <t>Соответствует ли сумма кредита вашим текущим доходам и возможностям?</t>
        </is>
      </c>
      <c r="E21" t="n">
        <v>60</v>
      </c>
      <c r="G21">
        <f>IF(D21="Да","Риск","OK")</f>
        <v/>
      </c>
    </row>
    <row r="22">
      <c r="A22" t="n">
        <v>16</v>
      </c>
      <c r="B22" t="inlineStr">
        <is>
          <t>Есть множественные заявки</t>
        </is>
      </c>
      <c r="C22" t="inlineStr">
        <is>
          <t>На что именно будут направлены денежные средства?</t>
        </is>
      </c>
      <c r="E22" t="n">
        <v>50</v>
      </c>
      <c r="G22">
        <f>IF(D22="Да","Риск","OK")</f>
        <v/>
      </c>
    </row>
    <row r="23">
      <c r="A23" t="n">
        <v>17</v>
      </c>
      <c r="B23" t="inlineStr">
        <is>
          <t>Сумма кредита несоразмерна доходу</t>
        </is>
      </c>
      <c r="E23" t="n">
        <v>70</v>
      </c>
      <c r="G23">
        <f>IF(D23="Да","Риск","OK")</f>
        <v/>
      </c>
    </row>
    <row r="24">
      <c r="A24" t="n">
        <v>18</v>
      </c>
      <c r="B24" t="inlineStr">
        <is>
          <t>Нет понятной цели использования средств</t>
        </is>
      </c>
      <c r="E24" t="n">
        <v>70</v>
      </c>
      <c r="G24">
        <f>IF(D24="Да","Риск","OK")</f>
        <v/>
      </c>
    </row>
    <row r="25"/>
    <row r="26"/>
    <row r="27">
      <c r="A27" s="4" t="inlineStr">
        <is>
          <t>ИТОГОВЫЙ SCORE</t>
        </is>
      </c>
      <c r="B27" s="4">
        <f>IF(D4="Да",E4,0)+IF(D5="Да",E5,0)+IF(D6="Да",E6,0)+IF(D7="Да",E7,0)+IF(D9="Да",E9,0)+IF(D10="Да",E10,0)+IF(D11="Да",E11,0)+IF(D12="Да",E12,0)+IF(D13="Да",E13,0)+IF(D15="Да",E15,0)+IF(D16="Да",E16,0)+IF(D17="Да",E17,0)+IF(D18="Да",E18,0)+IF(D19="Да",E19,0)+IF(D21="Да",E21,0)+IF(D22="Да",E22,0)</f>
        <v/>
      </c>
    </row>
    <row r="28"/>
    <row r="29">
      <c r="A29" s="4" t="inlineStr">
        <is>
          <t>РЕШЕНИЕ</t>
        </is>
      </c>
      <c r="B29" s="4">
        <f>IF(B27&lt;50,"СТАНДАРТ",IF(B27&lt;120,"ДОП.ПРОВЕРКА",IF(B27&lt;200,"ANTI-FRAUD REVIEW","ОТКАЗ")))</f>
        <v/>
      </c>
    </row>
    <row r="30"/>
    <row r="31">
      <c r="A31" s="4" t="inlineStr">
        <is>
          <t>КРИТИЧЕСКИЙ ФАКТОР</t>
        </is>
      </c>
      <c r="B31" s="4">
        <f>IF(OR(D9="Да",D11="Да",D13="Да"),"ТРЕБУЕТСЯ ЭСКАЛАЦИЯ В СЭБ","Нет")</f>
        <v/>
      </c>
    </row>
  </sheetData>
  <mergeCells count="1">
    <mergeCell ref="A1:F1"/>
  </mergeCells>
  <dataValidations count="1">
    <dataValidation sqref="C4 C5 C6 C7 C9 C10 C11 C12 C13 C15 C16 C17 C18 C19 C21 C22 C23 C24" showDropDown="0" showInputMessage="0" showErrorMessage="0" allowBlank="1" type="list">
      <formula1>"Да,Нет"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2026-05-06T10:27:40Z</dcterms:created>
  <dcterms:modified xmlns:dcterms="http://purl.org/dc/terms/" xmlns:xsi="http://www.w3.org/2001/XMLSchema-instance" xsi:type="dcterms:W3CDTF">2026-05-06T10:37:49Z</dcterms:modified>
</cp:coreProperties>
</file>