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DB74142-8384-453D-9F6E-9BF73ABEB3E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Дашборд" sheetId="1" r:id="rId1"/>
    <sheet name="Параметры" sheetId="2" r:id="rId2"/>
    <sheet name="Расходы" sheetId="3" r:id="rId3"/>
    <sheet name="Сценарии" sheetId="4" state="hidden" r:id="rId4"/>
  </sheets>
  <definedNames>
    <definedName name="solver_adj" localSheetId="0" hidden="1">Дашборд!$P$44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Дашборд!$O$42</definedName>
    <definedName name="solver_lhs2" localSheetId="0" hidden="1">Дашборд!$O$42</definedName>
    <definedName name="solver_lhs3" localSheetId="0" hidden="1">Дашборд!$S$34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Дашборд!$O$44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hs1" localSheetId="0" hidden="1">1</definedName>
    <definedName name="solver_rhs2" localSheetId="0" hidden="1">0.0001</definedName>
    <definedName name="solver_rhs3" localSheetId="0" hidden="1">0.0001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4" i="1" l="1"/>
  <c r="O43" i="1"/>
  <c r="O42" i="1"/>
  <c r="J42" i="1"/>
  <c r="B24" i="2"/>
  <c r="F41" i="1"/>
  <c r="M42" i="1"/>
  <c r="L43" i="1"/>
  <c r="L44" i="1"/>
  <c r="L42" i="1"/>
  <c r="H42" i="1"/>
  <c r="H43" i="1"/>
  <c r="L41" i="1"/>
  <c r="O35" i="1"/>
  <c r="N34" i="1"/>
  <c r="D34" i="1"/>
  <c r="K34" i="1"/>
  <c r="F23" i="3"/>
  <c r="H44" i="1"/>
  <c r="I43" i="1"/>
  <c r="I42" i="1"/>
  <c r="F43" i="1"/>
  <c r="F44" i="1"/>
  <c r="F42" i="1"/>
  <c r="I44" i="1"/>
  <c r="D44" i="1"/>
  <c r="D43" i="1"/>
  <c r="D42" i="1"/>
  <c r="G41" i="1"/>
  <c r="E41" i="1"/>
  <c r="H41" i="1"/>
  <c r="C41" i="1"/>
  <c r="L34" i="1"/>
  <c r="L6" i="3"/>
  <c r="L5" i="3"/>
  <c r="C34" i="1"/>
  <c r="B20" i="2"/>
  <c r="B21" i="2" s="1"/>
  <c r="S6" i="4" l="1"/>
  <c r="N35" i="1"/>
  <c r="N9" i="4"/>
  <c r="M9" i="4"/>
  <c r="L9" i="4"/>
  <c r="K9" i="4"/>
  <c r="J9" i="4"/>
  <c r="O9" i="4" s="1"/>
  <c r="P9" i="4" s="1"/>
  <c r="Q9" i="4" s="1"/>
  <c r="N8" i="4"/>
  <c r="M8" i="4"/>
  <c r="L8" i="4"/>
  <c r="K8" i="4"/>
  <c r="J8" i="4"/>
  <c r="N7" i="4"/>
  <c r="M7" i="4"/>
  <c r="L7" i="4"/>
  <c r="K7" i="4"/>
  <c r="J7" i="4"/>
  <c r="O7" i="4" s="1"/>
  <c r="P7" i="4" s="1"/>
  <c r="Q7" i="4" s="1"/>
  <c r="M6" i="4"/>
  <c r="K6" i="4"/>
  <c r="I6" i="4"/>
  <c r="H6" i="4"/>
  <c r="D6" i="4"/>
  <c r="C6" i="4"/>
  <c r="B6" i="4"/>
  <c r="F21" i="3"/>
  <c r="F20" i="3"/>
  <c r="F19" i="3"/>
  <c r="F18" i="3"/>
  <c r="F17" i="3"/>
  <c r="F15" i="3"/>
  <c r="F14" i="3"/>
  <c r="F13" i="3"/>
  <c r="F12" i="3"/>
  <c r="F11" i="3"/>
  <c r="F10" i="3"/>
  <c r="F9" i="3"/>
  <c r="F8" i="3"/>
  <c r="F7" i="3"/>
  <c r="F6" i="3"/>
  <c r="B26" i="2"/>
  <c r="B5" i="1"/>
  <c r="B19" i="1" s="1"/>
  <c r="B22" i="2"/>
  <c r="F4" i="1" s="1"/>
  <c r="B6" i="1"/>
  <c r="B18" i="1" s="1"/>
  <c r="M35" i="1"/>
  <c r="L35" i="1"/>
  <c r="J34" i="1"/>
  <c r="I34" i="1"/>
  <c r="M34" i="1" s="1"/>
  <c r="E34" i="1"/>
  <c r="B34" i="1"/>
  <c r="F13" i="1"/>
  <c r="B4" i="1"/>
  <c r="L6" i="4" l="1"/>
  <c r="E42" i="1"/>
  <c r="E44" i="1"/>
  <c r="E43" i="1"/>
  <c r="G44" i="1"/>
  <c r="G42" i="1"/>
  <c r="G43" i="1"/>
  <c r="R8" i="4"/>
  <c r="R7" i="4"/>
  <c r="R9" i="4"/>
  <c r="B27" i="2"/>
  <c r="O8" i="4"/>
  <c r="P8" i="4" s="1"/>
  <c r="Q8" i="4" s="1"/>
  <c r="K35" i="1"/>
  <c r="P35" i="1" s="1"/>
  <c r="G6" i="4"/>
  <c r="N6" i="4" s="1"/>
  <c r="J6" i="4"/>
  <c r="B7" i="1"/>
  <c r="B23" i="2"/>
  <c r="R6" i="4" l="1"/>
  <c r="J44" i="1"/>
  <c r="J43" i="1"/>
  <c r="Q35" i="1"/>
  <c r="R35" i="1" s="1"/>
  <c r="I10" i="2"/>
  <c r="I5" i="2"/>
  <c r="I9" i="2"/>
  <c r="B25" i="2"/>
  <c r="I6" i="2"/>
  <c r="I7" i="2"/>
  <c r="I8" i="2"/>
  <c r="F7" i="1"/>
  <c r="B20" i="1" s="1"/>
  <c r="H34" i="1"/>
  <c r="O34" i="1" s="1"/>
  <c r="P34" i="1" s="1"/>
  <c r="Q34" i="1" s="1"/>
  <c r="R34" i="1" s="1"/>
  <c r="O6" i="4"/>
  <c r="P6" i="4" s="1"/>
  <c r="Q6" i="4" s="1"/>
  <c r="B11" i="1"/>
  <c r="F12" i="1" s="1"/>
  <c r="B8" i="1"/>
  <c r="F5" i="1"/>
  <c r="I11" i="2" l="1"/>
  <c r="F6" i="1" s="1"/>
  <c r="F8" i="1" s="1"/>
  <c r="B28" i="2"/>
  <c r="B10" i="1"/>
  <c r="B9" i="1"/>
  <c r="B17" i="1" l="1"/>
  <c r="F9" i="1" l="1"/>
  <c r="B21" i="1" s="1"/>
  <c r="F10" i="1" l="1"/>
  <c r="B22" i="1" l="1"/>
  <c r="F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Кирилл Николаев</author>
  </authors>
  <commentList>
    <comment ref="K42" authorId="0" shapeId="0" xr:uid="{CAB047FB-5B9A-4C57-8882-D3FAE71C640F}">
      <text>
        <r>
          <rPr>
            <b/>
            <sz val="9"/>
            <color indexed="81"/>
            <rFont val="Tahoma"/>
            <family val="2"/>
            <charset val="204"/>
          </rPr>
          <t>Кирилл Николаев:</t>
        </r>
        <r>
          <rPr>
            <sz val="9"/>
            <color indexed="81"/>
            <rFont val="Tahoma"/>
            <family val="2"/>
            <charset val="204"/>
          </rPr>
          <t xml:space="preserve">
Рассчитано с помощью надстройки Данные-Поиск решения (см. Методологию)</t>
        </r>
      </text>
    </comment>
  </commentList>
</comments>
</file>

<file path=xl/sharedStrings.xml><?xml version="1.0" encoding="utf-8"?>
<sst xmlns="http://schemas.openxmlformats.org/spreadsheetml/2006/main" count="272" uniqueCount="177">
  <si>
    <t>ЮНИТ-ЭКОНОМИКА ПРОДУКТА</t>
  </si>
  <si>
    <t>Стоимость ресурсов</t>
  </si>
  <si>
    <t>Доходность и прибыль</t>
  </si>
  <si>
    <t>Сумма клиента во Вкладе</t>
  </si>
  <si>
    <t>руб.</t>
  </si>
  <si>
    <t>Привлеченные ресурсы</t>
  </si>
  <si>
    <t>Проценты клиенту за 185 дней</t>
  </si>
  <si>
    <t>Средняя сумма кредита</t>
  </si>
  <si>
    <t>Комиссия от второй компании</t>
  </si>
  <si>
    <t>Процентный доход по кредиту</t>
  </si>
  <si>
    <t>Чистая стоимость ресурсов</t>
  </si>
  <si>
    <t>Проценты клиенту минус комиссия</t>
  </si>
  <si>
    <t>Все расходы за срок</t>
  </si>
  <si>
    <t>Стоимость ресурсов за период / Вклад</t>
  </si>
  <si>
    <t>%</t>
  </si>
  <si>
    <t>Прибыль до налога</t>
  </si>
  <si>
    <t>Годовая стоимость ресурсов / Вклад (простая)</t>
  </si>
  <si>
    <t>Налог на прибыль</t>
  </si>
  <si>
    <t>Годовая стоимость ресурсов / Вклад (сложная)</t>
  </si>
  <si>
    <t>Годовая стоимость / доступная сумма</t>
  </si>
  <si>
    <t>Учитывает, какая доля X реально работает</t>
  </si>
  <si>
    <t>Маржа к Вкладу</t>
  </si>
  <si>
    <t>Спред к стоимости ресурсов</t>
  </si>
  <si>
    <t>п.п.</t>
  </si>
  <si>
    <t>Доходность кредитов минус стоимость ресурсов на доступную сумму</t>
  </si>
  <si>
    <t>Компонент</t>
  </si>
  <si>
    <t>Сумма, руб.</t>
  </si>
  <si>
    <t>Процентный доход по кредитам</t>
  </si>
  <si>
    <t>Проценты клиенту</t>
  </si>
  <si>
    <t>Расходы</t>
  </si>
  <si>
    <t xml:space="preserve">Налоги </t>
  </si>
  <si>
    <t>Чистая прибыль</t>
  </si>
  <si>
    <t>ПАРАМЕТРЫ ЮНИТ-ЭКОНОМИКИ</t>
  </si>
  <si>
    <t>1. Базовые условия сделки</t>
  </si>
  <si>
    <t>Параметр</t>
  </si>
  <si>
    <t>Значение</t>
  </si>
  <si>
    <t>Ед.</t>
  </si>
  <si>
    <t>Сущность</t>
  </si>
  <si>
    <t>Сумма вклада</t>
  </si>
  <si>
    <t>Масштаб всей сделки</t>
  </si>
  <si>
    <t>Срок</t>
  </si>
  <si>
    <t>дней</t>
  </si>
  <si>
    <t>Срок начисления процентов</t>
  </si>
  <si>
    <t>Ставка клиенту</t>
  </si>
  <si>
    <t>Стоимость привлечённых ресурсов</t>
  </si>
  <si>
    <t>Тип ставки клиенту</t>
  </si>
  <si>
    <t>Годовая</t>
  </si>
  <si>
    <t>Определяет пересчёт 14,25% на 185 дней</t>
  </si>
  <si>
    <t>Дневная база</t>
  </si>
  <si>
    <t>365 или 360 дней</t>
  </si>
  <si>
    <t>Условие доли размещения средств в ПДС от суммы вклада</t>
  </si>
  <si>
    <t>База партнёрской операции</t>
  </si>
  <si>
    <t>Вознаграждение Банку</t>
  </si>
  <si>
    <t>Комиссионный доход</t>
  </si>
  <si>
    <t>Коэффициент фактического вклада</t>
  </si>
  <si>
    <t>Доступная сумма для кредитования</t>
  </si>
  <si>
    <t>Ставка по кредиту</t>
  </si>
  <si>
    <t>Доля размещения в кредитные продукты от привлеченного ресурса</t>
  </si>
  <si>
    <t>Средний работающий кредитный портфель</t>
  </si>
  <si>
    <t>Возрат суммы вклада клиента по окончанию 185 дней</t>
  </si>
  <si>
    <t>Контроль ликвидности</t>
  </si>
  <si>
    <t>2. Расчёт структуры сделки и контроль ликвидности</t>
  </si>
  <si>
    <t>Показатель</t>
  </si>
  <si>
    <t>Формула / значение</t>
  </si>
  <si>
    <t>Сумма клиента в НПФ</t>
  </si>
  <si>
    <t>Комиссионное вознаграждение</t>
  </si>
  <si>
    <t>Проценты клиенту за срок</t>
  </si>
  <si>
    <t>Основной долг к возврату клиенту</t>
  </si>
  <si>
    <t>Разрыв основного долга до доходов</t>
  </si>
  <si>
    <t>Разрыв после комиссии и процентного дохода</t>
  </si>
  <si>
    <t>РАСХОДЫ НА ОДНОГО КЛИЕНТА / ОДНУ СДЕЛКУ</t>
  </si>
  <si>
    <t>Ставка расхода может быть годовой или за весь срок. Все жёлтые/синие ячейки можно менять.</t>
  </si>
  <si>
    <t>Статья расходов</t>
  </si>
  <si>
    <t>База расчёта</t>
  </si>
  <si>
    <t>Ставка</t>
  </si>
  <si>
    <t>Тип ставки</t>
  </si>
  <si>
    <t>Фиксированно, руб.</t>
  </si>
  <si>
    <t>Расход за срок, руб.</t>
  </si>
  <si>
    <t>Комментарий</t>
  </si>
  <si>
    <t>Привлечение клиента (CAC)</t>
  </si>
  <si>
    <t>Фиксировано</t>
  </si>
  <si>
    <t>За период</t>
  </si>
  <si>
    <t>Реклама, агент, бонус за привлечение</t>
  </si>
  <si>
    <t>KYC / AML / идентификация</t>
  </si>
  <si>
    <t>Проверка клиента и документов</t>
  </si>
  <si>
    <t>Эквайринг и банковские переводы</t>
  </si>
  <si>
    <t>Комиссии банков и платёжных систем</t>
  </si>
  <si>
    <t>Оформление договора / ЭДО</t>
  </si>
  <si>
    <t>Подпись, SMS, ЭДО, хранение документов</t>
  </si>
  <si>
    <t>Сопровождение клиента ПДС</t>
  </si>
  <si>
    <t>Поддержка и операционные действия</t>
  </si>
  <si>
    <t>Скоринг и выдача кредитов</t>
  </si>
  <si>
    <t>Бюро кредитных историй, скоринг, оформление</t>
  </si>
  <si>
    <t>Ожидаемые кредитные потери</t>
  </si>
  <si>
    <t>PD × LGD или фактическая стоимость риска</t>
  </si>
  <si>
    <t>Просрочка и взыскание</t>
  </si>
  <si>
    <t>Коллекторы, суды, взыскание</t>
  </si>
  <si>
    <t>Страхование / гарантии</t>
  </si>
  <si>
    <t>Страховая премия или гарантийная комиссия</t>
  </si>
  <si>
    <t>Резерв ликвидности</t>
  </si>
  <si>
    <t>Стоимость неработающего резерва / фондирования</t>
  </si>
  <si>
    <t>IT и инфраструктура</t>
  </si>
  <si>
    <t>Серверы, лицензии, интеграции</t>
  </si>
  <si>
    <t>Персонал на одну сделку</t>
  </si>
  <si>
    <t>Распределённая зарплата и страховые взносы</t>
  </si>
  <si>
    <t>Юристы, комплаенс, аудит</t>
  </si>
  <si>
    <t>Регуляторная и юридическая нагрузка</t>
  </si>
  <si>
    <t>Партнёрские / агентские выплаты</t>
  </si>
  <si>
    <t>Иные комиссии посредникам</t>
  </si>
  <si>
    <t>Налоги и сборы, кроме налога на прибыль</t>
  </si>
  <si>
    <t>Введите только применимые налоги/сборы</t>
  </si>
  <si>
    <t>Прочие переменные расходы</t>
  </si>
  <si>
    <t>Резерв на неучтённые расходы</t>
  </si>
  <si>
    <t>ИТОГО РАСХОДОВ</t>
  </si>
  <si>
    <t>СЦЕНАРНЫЙ АНАЛИЗ</t>
  </si>
  <si>
    <t>Сценарии — упрощённый быстрый расчёт. Жёлтые/синие предположения можно менять; комиссии Y и срок берутся из листа «Параметры».</t>
  </si>
  <si>
    <t>Сценарий</t>
  </si>
  <si>
    <t xml:space="preserve">Доля размещения Вклада </t>
  </si>
  <si>
    <t>Доходность кредита</t>
  </si>
  <si>
    <t>Загрузка</t>
  </si>
  <si>
    <t>Стоимость риска</t>
  </si>
  <si>
    <t>Прочие расходы от X</t>
  </si>
  <si>
    <t>Фикс. расходы</t>
  </si>
  <si>
    <t>Доход по кредитам</t>
  </si>
  <si>
    <t>Комиссия</t>
  </si>
  <si>
    <t>Кредитные потери</t>
  </si>
  <si>
    <t>Прочие расходы</t>
  </si>
  <si>
    <t>Маржа к X</t>
  </si>
  <si>
    <t>Безубыт. доходность</t>
  </si>
  <si>
    <t>Текущая модель</t>
  </si>
  <si>
    <t>Консервативный пример</t>
  </si>
  <si>
    <t>Базовый пример</t>
  </si>
  <si>
    <t>Оптимистичный пример</t>
  </si>
  <si>
    <t>Средний срок размещения кредита</t>
  </si>
  <si>
    <t>мес.</t>
  </si>
  <si>
    <t>Используется в аннуитетном расчёте процентного дохода через ПЛТ</t>
  </si>
  <si>
    <t>СЦЕНАРИИ ПРОДУКТА</t>
  </si>
  <si>
    <t>Синие значения — изменяемые предположения. В текущем сценарии зелёные значения связаны с основными параметрами модели.</t>
  </si>
  <si>
    <t>Доля размещения вклада</t>
  </si>
  <si>
    <t>Средний срок кредита, мес.</t>
  </si>
  <si>
    <t>Фикс. расходы, руб.</t>
  </si>
  <si>
    <t>Проценты клиенту, руб.</t>
  </si>
  <si>
    <t>Кредитные потери, руб.</t>
  </si>
  <si>
    <t>Прибыль до налога, руб.</t>
  </si>
  <si>
    <t>Чистая прибыль, руб.</t>
  </si>
  <si>
    <t>Среднее число месяцев погашения кредита; допускается дробное значение для среднего срока</t>
  </si>
  <si>
    <t>Доход по кредиту за 6 месяцев, руб.</t>
  </si>
  <si>
    <t xml:space="preserve">Процентный доход по кредиту </t>
  </si>
  <si>
    <t>Период</t>
  </si>
  <si>
    <t>Кредитный календарь</t>
  </si>
  <si>
    <t xml:space="preserve">Проценты за 6 мес. </t>
  </si>
  <si>
    <t>Возможные доп.расходы</t>
  </si>
  <si>
    <t>Маржа к сумме Вклада</t>
  </si>
  <si>
    <t>Процентный доход по кредиту за 6 мес.</t>
  </si>
  <si>
    <t>IT</t>
  </si>
  <si>
    <r>
      <t>Чистая прибыль на клиента</t>
    </r>
    <r>
      <rPr>
        <b/>
        <sz val="11"/>
        <color rgb="FFFF0000"/>
        <rFont val="Carlito"/>
        <charset val="204"/>
      </rPr>
      <t xml:space="preserve"> (БЕЗ УЧЁТА КРЕДИТНОГО РИСКА)</t>
    </r>
  </si>
  <si>
    <r>
      <t>Компоненты прибыли на одну сделку</t>
    </r>
    <r>
      <rPr>
        <b/>
        <sz val="11"/>
        <color theme="1"/>
        <rFont val="Carlito"/>
        <charset val="204"/>
      </rPr>
      <t xml:space="preserve"> (БЕЗ УЧЁТА КРЕДИТНОГО РИСКА)</t>
    </r>
  </si>
  <si>
    <t>Количество клиентов</t>
  </si>
  <si>
    <t>Средняя стоимость</t>
  </si>
  <si>
    <t>Расчёт точки безубыточности</t>
  </si>
  <si>
    <t>Базовый сценарий (при минимальных расходах на ИТ)</t>
  </si>
  <si>
    <t xml:space="preserve">Задача и методика </t>
  </si>
  <si>
    <t>Есть функция прибыли, зависящая от кредитной ставки. При низкой ставке прибыль отрицательная, при более высокой положительная. Требуется найти такое значение ставки, при котором прибыль становится равной нулю. Эта ставка и является безубыточной.
Метод ОПГ / GRG Nonlinear использует приближённые производные функции и последовательно движется к точке, удовлетворяющей заданным ограничениям.
Все расходы за исключением "Кредитные потери" исходят из таблицы СЦЕНАРИИ ПРОДУКТА. 
Данные --&gt; Поиск решения</t>
  </si>
  <si>
    <t>Возможность изменения</t>
  </si>
  <si>
    <t>Возможно только с использованием надстройки "Поиск решения" во вкладке Данные</t>
  </si>
  <si>
    <t>Прочие расходы (ИТ, менеджеры по продажам и др.), руб.</t>
  </si>
  <si>
    <t>Сценарий 1</t>
  </si>
  <si>
    <t>Вознаграждение Банку руб.</t>
  </si>
  <si>
    <t>Срок кредита</t>
  </si>
  <si>
    <t xml:space="preserve">Сценарий 2 </t>
  </si>
  <si>
    <t>Сценарий 3</t>
  </si>
  <si>
    <t xml:space="preserve">Организационные и ИТ Расходы на 1 клиента </t>
  </si>
  <si>
    <t>Ставка безубыточности для данного сценария</t>
  </si>
  <si>
    <t xml:space="preserve">Количество клиентов за 6 мес. </t>
  </si>
  <si>
    <t>Безубыточные расходы на ИТ на 1 клиента при фиксированой ставке</t>
  </si>
  <si>
    <t>Точка безубыточности по ставке</t>
  </si>
  <si>
    <t>Точка безубыточности по сумме расходов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</si>
</sst>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₽&quot;;[Red]\-#,##0.00\ &quot;₽&quot;"/>
    <numFmt numFmtId="43" formatCode="_-* #,##0.00_-;\-* #,##0.00_-;_-* &quot;-&quot;??_-;_-@_-"/>
    <numFmt numFmtId="164" formatCode="#,##0.00;[Red]\(#,##0.00\);\-"/>
    <numFmt numFmtId="165" formatCode="#,##0;[Red]\(#,##0\);\-"/>
    <numFmt numFmtId="166" formatCode="0.00%;[Red]\(0.00%\);\-"/>
    <numFmt numFmtId="167" formatCode="0.00;[Red]\(0.00\);\-"/>
    <numFmt numFmtId="168" formatCode="#,##0.00;[Red]#,##0.00"/>
    <numFmt numFmtId="170" formatCode="_-* #,##0.00\ _₽_-;\-* #,##0.00\ _₽_-;_-* &quot;-&quot;??\ _₽_-;_-@_-"/>
    <numFmt numFmtId="173" formatCode="0.0000%;[Red]\(0.0000%\);\-"/>
  </numFmts>
  <fonts count="1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6324F"/>
      <name val="Carlito"/>
    </font>
    <font>
      <sz val="11"/>
      <color rgb="FF0000FF"/>
      <name val="Carlito"/>
    </font>
    <font>
      <sz val="11"/>
      <color rgb="FF000000"/>
      <name val="Carlito"/>
    </font>
    <font>
      <i/>
      <sz val="11"/>
      <color rgb="FF667085"/>
      <name val="Carlito"/>
    </font>
    <font>
      <sz val="11"/>
      <color rgb="FF008000"/>
      <name val="Carlito"/>
    </font>
    <font>
      <b/>
      <sz val="11"/>
      <name val="Carlito"/>
    </font>
    <font>
      <b/>
      <sz val="11"/>
      <color rgb="FF000000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  <charset val="204"/>
    </font>
    <font>
      <b/>
      <sz val="11"/>
      <color rgb="FFFF0000"/>
      <name val="Carlito"/>
      <charset val="204"/>
    </font>
    <font>
      <b/>
      <sz val="11"/>
      <color theme="1"/>
      <name val="Carlito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2F7C7A"/>
      </patternFill>
    </fill>
    <fill>
      <patternFill patternType="solid">
        <fgColor rgb="FFDCEDEA"/>
      </patternFill>
    </fill>
    <fill>
      <patternFill patternType="solid">
        <fgColor rgb="FFFFF2CC"/>
      </patternFill>
    </fill>
    <fill>
      <patternFill patternType="solid">
        <fgColor rgb="FFEEF4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6324F"/>
      </patternFill>
    </fill>
    <fill>
      <patternFill patternType="solid">
        <fgColor rgb="FFEEF4F7"/>
      </patternFill>
    </fill>
    <fill>
      <patternFill patternType="solid">
        <fgColor rgb="FFDCEDEA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16324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8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4" xfId="1" applyFont="1" applyBorder="1" applyAlignment="1">
      <alignment wrapText="1"/>
    </xf>
    <xf numFmtId="164" fontId="4" fillId="5" borderId="0" xfId="1" applyNumberFormat="1" applyFont="1" applyFill="1" applyAlignment="1">
      <alignment wrapText="1"/>
    </xf>
    <xf numFmtId="0" fontId="0" fillId="0" borderId="5" xfId="1" applyFont="1" applyBorder="1" applyAlignment="1">
      <alignment wrapText="1"/>
    </xf>
    <xf numFmtId="165" fontId="4" fillId="5" borderId="0" xfId="1" applyNumberFormat="1" applyFont="1" applyFill="1" applyAlignment="1">
      <alignment wrapText="1"/>
    </xf>
    <xf numFmtId="166" fontId="4" fillId="5" borderId="0" xfId="1" applyNumberFormat="1" applyFont="1" applyFill="1" applyAlignment="1">
      <alignment wrapText="1"/>
    </xf>
    <xf numFmtId="0" fontId="4" fillId="5" borderId="0" xfId="1" applyFont="1" applyFill="1" applyAlignment="1">
      <alignment wrapText="1"/>
    </xf>
    <xf numFmtId="0" fontId="0" fillId="0" borderId="6" xfId="1" applyFont="1" applyBorder="1" applyAlignment="1">
      <alignment wrapText="1"/>
    </xf>
    <xf numFmtId="166" fontId="4" fillId="5" borderId="7" xfId="1" applyNumberFormat="1" applyFont="1" applyFill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164" fontId="5" fillId="0" borderId="0" xfId="1" applyNumberFormat="1" applyFont="1" applyAlignment="1">
      <alignment wrapText="1"/>
    </xf>
    <xf numFmtId="164" fontId="5" fillId="0" borderId="7" xfId="1" applyNumberFormat="1" applyFont="1" applyBorder="1" applyAlignment="1">
      <alignment wrapText="1"/>
    </xf>
    <xf numFmtId="164" fontId="7" fillId="0" borderId="0" xfId="1" applyNumberFormat="1" applyFont="1" applyAlignment="1">
      <alignment wrapText="1"/>
    </xf>
    <xf numFmtId="0" fontId="4" fillId="5" borderId="7" xfId="1" applyFont="1" applyFill="1" applyBorder="1" applyAlignment="1">
      <alignment wrapText="1"/>
    </xf>
    <xf numFmtId="164" fontId="4" fillId="5" borderId="7" xfId="1" applyNumberFormat="1" applyFont="1" applyFill="1" applyBorder="1" applyAlignment="1">
      <alignment wrapText="1"/>
    </xf>
    <xf numFmtId="164" fontId="7" fillId="0" borderId="7" xfId="1" applyNumberFormat="1" applyFont="1" applyBorder="1" applyAlignment="1">
      <alignment wrapText="1"/>
    </xf>
    <xf numFmtId="164" fontId="9" fillId="0" borderId="9" xfId="1" applyNumberFormat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0" fillId="0" borderId="1" xfId="1" applyFont="1" applyBorder="1" applyAlignment="1">
      <alignment wrapText="1"/>
    </xf>
    <xf numFmtId="164" fontId="7" fillId="0" borderId="2" xfId="1" applyNumberFormat="1" applyFont="1" applyBorder="1" applyAlignment="1">
      <alignment wrapText="1"/>
    </xf>
    <xf numFmtId="0" fontId="0" fillId="0" borderId="2" xfId="1" applyFont="1" applyBorder="1" applyAlignment="1">
      <alignment wrapText="1"/>
    </xf>
    <xf numFmtId="0" fontId="0" fillId="0" borderId="3" xfId="1" applyFont="1" applyBorder="1" applyAlignment="1">
      <alignment wrapText="1"/>
    </xf>
    <xf numFmtId="166" fontId="7" fillId="0" borderId="0" xfId="1" applyNumberFormat="1" applyFont="1" applyAlignment="1">
      <alignment wrapText="1"/>
    </xf>
    <xf numFmtId="0" fontId="0" fillId="7" borderId="4" xfId="1" applyFont="1" applyFill="1" applyBorder="1" applyAlignment="1">
      <alignment wrapText="1"/>
    </xf>
    <xf numFmtId="164" fontId="7" fillId="7" borderId="0" xfId="1" applyNumberFormat="1" applyFont="1" applyFill="1" applyAlignment="1">
      <alignment wrapText="1"/>
    </xf>
    <xf numFmtId="0" fontId="0" fillId="7" borderId="0" xfId="1" applyFont="1" applyFill="1" applyAlignment="1">
      <alignment wrapText="1"/>
    </xf>
    <xf numFmtId="0" fontId="0" fillId="7" borderId="5" xfId="1" applyFont="1" applyFill="1" applyBorder="1" applyAlignment="1">
      <alignment wrapText="1"/>
    </xf>
    <xf numFmtId="166" fontId="7" fillId="0" borderId="7" xfId="1" applyNumberFormat="1" applyFont="1" applyBorder="1" applyAlignment="1">
      <alignment wrapText="1"/>
    </xf>
    <xf numFmtId="164" fontId="5" fillId="0" borderId="5" xfId="1" applyNumberFormat="1" applyFont="1" applyBorder="1" applyAlignment="1">
      <alignment wrapText="1"/>
    </xf>
    <xf numFmtId="164" fontId="5" fillId="0" borderId="8" xfId="1" applyNumberFormat="1" applyFont="1" applyBorder="1" applyAlignment="1">
      <alignment wrapText="1"/>
    </xf>
    <xf numFmtId="166" fontId="7" fillId="5" borderId="0" xfId="1" applyNumberFormat="1" applyFont="1" applyFill="1" applyAlignment="1">
      <alignment wrapText="1"/>
    </xf>
    <xf numFmtId="0" fontId="7" fillId="5" borderId="0" xfId="1" applyFont="1" applyFill="1" applyAlignment="1">
      <alignment wrapText="1"/>
    </xf>
    <xf numFmtId="166" fontId="5" fillId="0" borderId="0" xfId="1" applyNumberFormat="1" applyFont="1" applyAlignment="1">
      <alignment wrapText="1"/>
    </xf>
    <xf numFmtId="166" fontId="5" fillId="0" borderId="5" xfId="1" applyNumberFormat="1" applyFont="1" applyBorder="1" applyAlignment="1">
      <alignment wrapText="1"/>
    </xf>
    <xf numFmtId="166" fontId="5" fillId="0" borderId="7" xfId="1" applyNumberFormat="1" applyFont="1" applyBorder="1" applyAlignment="1">
      <alignment wrapText="1"/>
    </xf>
    <xf numFmtId="166" fontId="5" fillId="0" borderId="8" xfId="1" applyNumberFormat="1" applyFont="1" applyBorder="1" applyAlignment="1">
      <alignment wrapText="1"/>
    </xf>
    <xf numFmtId="164" fontId="7" fillId="5" borderId="0" xfId="1" applyNumberFormat="1" applyFont="1" applyFill="1" applyAlignment="1">
      <alignment wrapText="1"/>
    </xf>
    <xf numFmtId="0" fontId="4" fillId="5" borderId="0" xfId="1" applyFont="1" applyFill="1" applyAlignment="1">
      <alignment horizontal="right" wrapText="1"/>
    </xf>
    <xf numFmtId="0" fontId="0" fillId="0" borderId="4" xfId="1" applyFont="1" applyFill="1" applyBorder="1" applyAlignment="1">
      <alignment wrapText="1"/>
    </xf>
    <xf numFmtId="164" fontId="7" fillId="0" borderId="0" xfId="1" applyNumberFormat="1" applyFont="1" applyFill="1" applyAlignment="1">
      <alignment wrapText="1"/>
    </xf>
    <xf numFmtId="0" fontId="0" fillId="0" borderId="0" xfId="1" applyFont="1" applyFill="1" applyAlignment="1">
      <alignment wrapText="1"/>
    </xf>
    <xf numFmtId="0" fontId="0" fillId="0" borderId="5" xfId="1" applyFont="1" applyFill="1" applyBorder="1" applyAlignment="1">
      <alignment wrapText="1"/>
    </xf>
    <xf numFmtId="43" fontId="0" fillId="0" borderId="0" xfId="2" applyFont="1"/>
    <xf numFmtId="0" fontId="0" fillId="0" borderId="10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164" fontId="5" fillId="0" borderId="0" xfId="0" applyNumberFormat="1" applyFont="1" applyFill="1" applyBorder="1" applyAlignment="1">
      <alignment wrapText="1"/>
    </xf>
    <xf numFmtId="0" fontId="3" fillId="11" borderId="0" xfId="0" applyNumberFormat="1" applyFont="1" applyFill="1" applyBorder="1" applyAlignment="1">
      <alignment horizontal="center" vertical="center" wrapText="1"/>
    </xf>
    <xf numFmtId="0" fontId="3" fillId="11" borderId="16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166" fontId="7" fillId="0" borderId="14" xfId="0" applyNumberFormat="1" applyFont="1" applyFill="1" applyBorder="1" applyAlignment="1">
      <alignment wrapText="1"/>
    </xf>
    <xf numFmtId="166" fontId="0" fillId="0" borderId="14" xfId="0" applyNumberFormat="1" applyFont="1" applyFill="1" applyBorder="1" applyAlignment="1">
      <alignment wrapText="1"/>
    </xf>
    <xf numFmtId="164" fontId="7" fillId="0" borderId="14" xfId="0" applyNumberFormat="1" applyFont="1" applyFill="1" applyBorder="1" applyAlignment="1">
      <alignment wrapText="1"/>
    </xf>
    <xf numFmtId="49" fontId="7" fillId="0" borderId="14" xfId="0" applyNumberFormat="1" applyFont="1" applyFill="1" applyBorder="1" applyAlignment="1">
      <alignment wrapText="1"/>
    </xf>
    <xf numFmtId="164" fontId="5" fillId="0" borderId="14" xfId="0" applyNumberFormat="1" applyFont="1" applyFill="1" applyBorder="1" applyAlignment="1">
      <alignment wrapText="1"/>
    </xf>
    <xf numFmtId="166" fontId="5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166" fontId="4" fillId="8" borderId="0" xfId="0" applyNumberFormat="1" applyFont="1" applyFill="1" applyBorder="1" applyAlignment="1">
      <alignment wrapText="1"/>
    </xf>
    <xf numFmtId="164" fontId="4" fillId="8" borderId="0" xfId="0" applyNumberFormat="1" applyFont="1" applyFill="1" applyBorder="1" applyAlignment="1">
      <alignment wrapText="1"/>
    </xf>
    <xf numFmtId="49" fontId="4" fillId="8" borderId="0" xfId="0" applyNumberFormat="1" applyFont="1" applyFill="1" applyBorder="1" applyAlignment="1">
      <alignment wrapText="1"/>
    </xf>
    <xf numFmtId="166" fontId="5" fillId="0" borderId="0" xfId="0" applyNumberFormat="1" applyFont="1" applyFill="1" applyBorder="1" applyAlignment="1">
      <alignment wrapText="1"/>
    </xf>
    <xf numFmtId="167" fontId="4" fillId="5" borderId="11" xfId="0" applyNumberFormat="1" applyFont="1" applyFill="1" applyBorder="1" applyAlignment="1">
      <alignment wrapText="1"/>
    </xf>
    <xf numFmtId="167" fontId="4" fillId="5" borderId="0" xfId="0" applyNumberFormat="1" applyFont="1" applyFill="1" applyBorder="1" applyAlignment="1">
      <alignment wrapText="1"/>
    </xf>
    <xf numFmtId="167" fontId="7" fillId="0" borderId="11" xfId="0" applyNumberFormat="1" applyFont="1" applyFill="1" applyBorder="1" applyAlignment="1">
      <alignment wrapText="1"/>
    </xf>
    <xf numFmtId="167" fontId="7" fillId="0" borderId="14" xfId="0" applyNumberFormat="1" applyFont="1" applyFill="1" applyBorder="1" applyAlignment="1">
      <alignment wrapText="1"/>
    </xf>
    <xf numFmtId="167" fontId="7" fillId="0" borderId="17" xfId="0" applyNumberFormat="1" applyFont="1" applyFill="1" applyBorder="1"/>
    <xf numFmtId="167" fontId="4" fillId="5" borderId="17" xfId="0" applyNumberFormat="1" applyFont="1" applyFill="1" applyBorder="1"/>
    <xf numFmtId="167" fontId="4" fillId="5" borderId="18" xfId="0" applyNumberFormat="1" applyFont="1" applyFill="1" applyBorder="1"/>
    <xf numFmtId="0" fontId="2" fillId="3" borderId="0" xfId="1" applyFont="1" applyFill="1" applyAlignment="1">
      <alignment horizontal="left" vertical="center" wrapText="1"/>
    </xf>
    <xf numFmtId="0" fontId="1" fillId="2" borderId="0" xfId="1" applyFont="1" applyFill="1" applyAlignment="1">
      <alignment horizontal="left" vertical="center" wrapText="1"/>
    </xf>
    <xf numFmtId="0" fontId="11" fillId="9" borderId="0" xfId="0" applyNumberFormat="1" applyFont="1" applyFill="1" applyBorder="1" applyAlignment="1">
      <alignment horizontal="left" vertical="center" wrapText="1"/>
    </xf>
    <xf numFmtId="0" fontId="6" fillId="10" borderId="0" xfId="0" applyNumberFormat="1" applyFont="1" applyFill="1" applyBorder="1" applyAlignment="1">
      <alignment vertical="center" wrapText="1"/>
    </xf>
    <xf numFmtId="0" fontId="6" fillId="6" borderId="0" xfId="1" applyFont="1" applyFill="1" applyAlignment="1">
      <alignment wrapText="1"/>
    </xf>
    <xf numFmtId="0" fontId="8" fillId="0" borderId="9" xfId="1" applyFont="1" applyBorder="1" applyAlignment="1">
      <alignment horizontal="right" wrapText="1"/>
    </xf>
    <xf numFmtId="8" fontId="0" fillId="0" borderId="0" xfId="2" applyNumberFormat="1" applyFont="1"/>
    <xf numFmtId="0" fontId="12" fillId="0" borderId="0" xfId="0" applyFont="1"/>
    <xf numFmtId="8" fontId="12" fillId="0" borderId="0" xfId="0" applyNumberFormat="1" applyFont="1"/>
    <xf numFmtId="166" fontId="0" fillId="0" borderId="0" xfId="0" applyNumberFormat="1"/>
    <xf numFmtId="9" fontId="0" fillId="0" borderId="0" xfId="3" applyFont="1"/>
    <xf numFmtId="170" fontId="0" fillId="0" borderId="0" xfId="0" applyNumberFormat="1"/>
    <xf numFmtId="0" fontId="3" fillId="11" borderId="19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3" fillId="11" borderId="19" xfId="0" applyNumberFormat="1" applyFont="1" applyFill="1" applyBorder="1" applyAlignment="1">
      <alignment horizontal="center" vertical="center" wrapText="1"/>
    </xf>
    <xf numFmtId="170" fontId="0" fillId="0" borderId="0" xfId="0" applyNumberFormat="1" applyAlignment="1">
      <alignment horizontal="right"/>
    </xf>
    <xf numFmtId="0" fontId="3" fillId="12" borderId="0" xfId="0" applyNumberFormat="1" applyFont="1" applyFill="1" applyBorder="1" applyAlignment="1">
      <alignment horizontal="center" vertical="center" wrapText="1"/>
    </xf>
    <xf numFmtId="0" fontId="3" fillId="12" borderId="19" xfId="0" applyNumberFormat="1" applyFont="1" applyFill="1" applyBorder="1" applyAlignment="1">
      <alignment horizontal="center" vertical="center" wrapText="1"/>
    </xf>
    <xf numFmtId="173" fontId="7" fillId="0" borderId="14" xfId="0" applyNumberFormat="1" applyFont="1" applyFill="1" applyBorder="1" applyAlignment="1">
      <alignment wrapText="1"/>
    </xf>
  </cellXfs>
  <cellStyles count="4">
    <cellStyle name="Normal" xfId="1" xr:uid="{00000000-0005-0000-0000-000000000000}"/>
    <cellStyle name="Обычный" xfId="0" builtinId="0"/>
    <cellStyle name="Процентный" xfId="3" builtinId="5"/>
    <cellStyle name="Финансовый" xfId="2" xr:uid="{00000000-0005-0000-0000-000002000000}"/>
  </cellStyles>
  <dxfs count="3">
    <dxf>
      <font>
        <b/>
        <color rgb="FFB42318"/>
      </font>
      <fill>
        <patternFill>
          <bgColor rgb="FFFCE8E6"/>
        </patternFill>
      </fill>
    </dxf>
    <dxf>
      <font>
        <b/>
        <color rgb="FF027A48"/>
      </font>
      <fill>
        <patternFill>
          <bgColor rgb="FFE2F0D9"/>
        </patternFill>
      </fill>
    </dxf>
    <dxf>
      <font>
        <b/>
        <color rgb="FFB42318"/>
      </font>
      <fill>
        <patternFill>
          <bgColor rgb="FFFCE8E6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Доходы и расходы на одну сделку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Сумма, руб.</c:v>
          </c:tx>
          <c:invertIfNegative val="0"/>
          <c:cat>
            <c:strRef>
              <c:f>Дашборд!$A$17:$A$21</c:f>
              <c:strCache>
                <c:ptCount val="5"/>
                <c:pt idx="0">
                  <c:v>Процентный доход по кредитам</c:v>
                </c:pt>
                <c:pt idx="1">
                  <c:v>Комиссия от второй компании</c:v>
                </c:pt>
                <c:pt idx="2">
                  <c:v>Проценты клиенту</c:v>
                </c:pt>
                <c:pt idx="3">
                  <c:v>Расходы</c:v>
                </c:pt>
                <c:pt idx="4">
                  <c:v>Налоги </c:v>
                </c:pt>
              </c:strCache>
            </c:strRef>
          </c:cat>
          <c:val>
            <c:numRef>
              <c:f>Дашборд!$B$17:$B$21</c:f>
              <c:numCache>
                <c:formatCode>#\ ##0.00;[Red]\(#\ ##0.00\);\-</c:formatCode>
                <c:ptCount val="5"/>
                <c:pt idx="0">
                  <c:v>45476.011248952665</c:v>
                </c:pt>
                <c:pt idx="1">
                  <c:v>12500</c:v>
                </c:pt>
                <c:pt idx="2">
                  <c:v>-36113.013698630137</c:v>
                </c:pt>
                <c:pt idx="3">
                  <c:v>-25000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4-4B77-A88F-89BB47F73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;[Red]\(#\ 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5237833293205889E-2"/>
          <c:y val="6.2086570800432901E-2"/>
          <c:w val="0.89212534901283735"/>
          <c:h val="0.73480525279109121"/>
        </c:manualLayout>
      </c:layout>
      <c:barChart>
        <c:barDir val="col"/>
        <c:grouping val="clustered"/>
        <c:varyColors val="0"/>
        <c:ser>
          <c:idx val="0"/>
          <c:order val="0"/>
          <c:tx>
            <c:v>Чистая прибыль</c:v>
          </c:tx>
          <c:invertIfNegative val="1"/>
          <c:cat>
            <c:strRef>
              <c:f>Дашборд!$A$34:$A$35</c:f>
              <c:strCache>
                <c:ptCount val="2"/>
                <c:pt idx="0">
                  <c:v>Текущая модель</c:v>
                </c:pt>
                <c:pt idx="1">
                  <c:v>Базовый сценарий (при минимальных расходах на ИТ)</c:v>
                </c:pt>
              </c:strCache>
            </c:strRef>
          </c:cat>
          <c:val>
            <c:numRef>
              <c:f>Дашборд!$Q$34:$Q$35</c:f>
              <c:numCache>
                <c:formatCode>#\ ##0.00;[Red]\(#\ ##0.00\);\-</c:formatCode>
                <c:ptCount val="2"/>
                <c:pt idx="0">
                  <c:v>-3137.002449677464</c:v>
                </c:pt>
                <c:pt idx="1">
                  <c:v>362.99755032253597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9-496A-A126-36E50D2E3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;[Red]\(#\ 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1115785</xdr:colOff>
      <xdr:row>13</xdr:row>
      <xdr:rowOff>122464</xdr:rowOff>
    </xdr:from>
    <xdr:to>
      <xdr:col>9</xdr:col>
      <xdr:colOff>966106</xdr:colOff>
      <xdr:row>26</xdr:row>
      <xdr:rowOff>122464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421821</xdr:colOff>
      <xdr:row>12</xdr:row>
      <xdr:rowOff>1074966</xdr:rowOff>
    </xdr:from>
    <xdr:to>
      <xdr:col>16</xdr:col>
      <xdr:colOff>367393</xdr:colOff>
      <xdr:row>27</xdr:row>
      <xdr:rowOff>68036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topLeftCell="A19" zoomScale="70" zoomScaleNormal="70" workbookViewId="0">
      <selection activeCell="Q41" sqref="Q41"/>
    </sheetView>
  </sheetViews>
  <sheetFormatPr defaultRowHeight="14.25"/>
  <cols>
    <col min="1" max="1" width="25" customWidth="1"/>
    <col min="2" max="2" width="20.25" customWidth="1"/>
    <col min="3" max="3" width="13.5" bestFit="1" customWidth="1"/>
    <col min="4" max="4" width="11" customWidth="1"/>
    <col min="5" max="5" width="28.125" customWidth="1"/>
    <col min="6" max="6" width="13" customWidth="1"/>
    <col min="7" max="7" width="15" customWidth="1"/>
    <col min="8" max="8" width="17.375" customWidth="1"/>
    <col min="9" max="10" width="13" customWidth="1"/>
    <col min="11" max="14" width="16" customWidth="1"/>
    <col min="15" max="15" width="20.625" bestFit="1" customWidth="1"/>
    <col min="16" max="16" width="18.125" bestFit="1" customWidth="1"/>
    <col min="17" max="17" width="16" customWidth="1"/>
    <col min="18" max="18" width="14" customWidth="1"/>
    <col min="20" max="27" width="12" customWidth="1"/>
  </cols>
  <sheetData>
    <row r="1" spans="1:8" ht="32.1" customHeight="1">
      <c r="A1" s="75" t="s">
        <v>0</v>
      </c>
      <c r="B1" s="75"/>
      <c r="C1" s="75"/>
      <c r="D1" s="75"/>
      <c r="E1" s="75"/>
      <c r="F1" s="75"/>
      <c r="G1" s="75"/>
      <c r="H1" s="75"/>
    </row>
    <row r="2" spans="1:8">
      <c r="A2" s="4"/>
      <c r="B2" s="4"/>
      <c r="C2" s="4"/>
      <c r="D2" s="4"/>
      <c r="E2" s="4"/>
      <c r="F2" s="4"/>
      <c r="G2" s="4"/>
      <c r="H2" s="4"/>
    </row>
    <row r="3" spans="1:8" ht="15">
      <c r="A3" s="74" t="s">
        <v>1</v>
      </c>
      <c r="B3" s="74"/>
      <c r="C3" s="74"/>
      <c r="D3" s="74"/>
      <c r="E3" s="74" t="s">
        <v>2</v>
      </c>
      <c r="F3" s="74"/>
      <c r="G3" s="74"/>
      <c r="H3" s="74"/>
    </row>
    <row r="4" spans="1:8" ht="28.5">
      <c r="A4" s="23" t="s">
        <v>3</v>
      </c>
      <c r="B4" s="24">
        <f>Параметры!B5</f>
        <v>500000</v>
      </c>
      <c r="C4" s="25" t="s">
        <v>4</v>
      </c>
      <c r="D4" s="26"/>
      <c r="E4" s="23" t="s">
        <v>5</v>
      </c>
      <c r="F4" s="24">
        <f>Параметры!B22</f>
        <v>500000</v>
      </c>
      <c r="G4" s="25" t="s">
        <v>4</v>
      </c>
      <c r="H4" s="26"/>
    </row>
    <row r="5" spans="1:8" ht="28.5">
      <c r="A5" s="5" t="s">
        <v>6</v>
      </c>
      <c r="B5" s="17">
        <f>Параметры!B24</f>
        <v>36113.013698630137</v>
      </c>
      <c r="C5" s="4" t="s">
        <v>4</v>
      </c>
      <c r="D5" s="7"/>
      <c r="E5" s="5" t="s">
        <v>7</v>
      </c>
      <c r="F5" s="17">
        <f>Параметры!B23</f>
        <v>500000</v>
      </c>
      <c r="G5" s="4" t="s">
        <v>4</v>
      </c>
      <c r="H5" s="7"/>
    </row>
    <row r="6" spans="1:8" ht="42.75">
      <c r="A6" s="5" t="s">
        <v>8</v>
      </c>
      <c r="B6" s="17">
        <f>Параметры!B21</f>
        <v>12500</v>
      </c>
      <c r="C6" s="4" t="s">
        <v>4</v>
      </c>
      <c r="D6" s="7"/>
      <c r="E6" s="5" t="s">
        <v>153</v>
      </c>
      <c r="F6" s="17">
        <f>Параметры!I11</f>
        <v>45476.011248952665</v>
      </c>
      <c r="G6" s="4" t="s">
        <v>4</v>
      </c>
      <c r="H6" s="7"/>
    </row>
    <row r="7" spans="1:8" ht="39.75" customHeight="1">
      <c r="A7" s="43" t="s">
        <v>10</v>
      </c>
      <c r="B7" s="44">
        <f>B5-B6</f>
        <v>23613.013698630137</v>
      </c>
      <c r="C7" s="45" t="s">
        <v>4</v>
      </c>
      <c r="D7" s="46" t="s">
        <v>11</v>
      </c>
      <c r="E7" s="5" t="s">
        <v>12</v>
      </c>
      <c r="F7" s="17">
        <f>Расходы!F23</f>
        <v>25000</v>
      </c>
      <c r="G7" s="4" t="s">
        <v>4</v>
      </c>
      <c r="H7" s="7"/>
    </row>
    <row r="8" spans="1:8" ht="36.75" customHeight="1">
      <c r="A8" s="5" t="s">
        <v>13</v>
      </c>
      <c r="B8" s="27">
        <f>B7/B4</f>
        <v>4.7226027397260277E-2</v>
      </c>
      <c r="C8" s="4" t="s">
        <v>14</v>
      </c>
      <c r="D8" s="7"/>
      <c r="E8" s="5" t="s">
        <v>15</v>
      </c>
      <c r="F8" s="17">
        <f>F6+B6-B5-F7</f>
        <v>-3137.0024496774713</v>
      </c>
      <c r="G8" s="4" t="s">
        <v>4</v>
      </c>
      <c r="H8" s="7"/>
    </row>
    <row r="9" spans="1:8" ht="28.5">
      <c r="A9" s="5" t="s">
        <v>16</v>
      </c>
      <c r="B9" s="27">
        <f>B8*Параметры!B9/Параметры!B6</f>
        <v>9.3175675675675682E-2</v>
      </c>
      <c r="C9" s="4" t="s">
        <v>14</v>
      </c>
      <c r="D9" s="7"/>
      <c r="E9" s="5" t="s">
        <v>17</v>
      </c>
      <c r="F9" s="17">
        <f>MAX(0,F8*Параметры!B15)</f>
        <v>0</v>
      </c>
      <c r="G9" s="4" t="s">
        <v>4</v>
      </c>
      <c r="H9" s="7"/>
    </row>
    <row r="10" spans="1:8" ht="74.25">
      <c r="A10" s="5" t="s">
        <v>18</v>
      </c>
      <c r="B10" s="27">
        <f>(1+B8)^(Параметры!B9/Параметры!B6)-1</f>
        <v>9.5315470496223575E-2</v>
      </c>
      <c r="C10" s="4" t="s">
        <v>14</v>
      </c>
      <c r="D10" s="7"/>
      <c r="E10" s="28" t="s">
        <v>155</v>
      </c>
      <c r="F10" s="29">
        <f>F8-F9</f>
        <v>-3137.0024496774713</v>
      </c>
      <c r="G10" s="30" t="s">
        <v>4</v>
      </c>
      <c r="H10" s="31"/>
    </row>
    <row r="11" spans="1:8" ht="57">
      <c r="A11" s="11" t="s">
        <v>19</v>
      </c>
      <c r="B11" s="32">
        <f>B7/Параметры!B22*Параметры!B9/Параметры!B6</f>
        <v>9.3175675675675682E-2</v>
      </c>
      <c r="C11" s="13" t="s">
        <v>14</v>
      </c>
      <c r="D11" s="14" t="s">
        <v>20</v>
      </c>
      <c r="E11" s="5" t="s">
        <v>21</v>
      </c>
      <c r="F11" s="27">
        <f>F10/B4</f>
        <v>-6.2740048993549426E-3</v>
      </c>
      <c r="G11" s="4" t="s">
        <v>14</v>
      </c>
      <c r="H11" s="7"/>
    </row>
    <row r="12" spans="1:8" ht="85.5">
      <c r="A12" s="4"/>
      <c r="B12" s="4"/>
      <c r="C12" s="4"/>
      <c r="D12" s="4"/>
      <c r="E12" s="11" t="s">
        <v>22</v>
      </c>
      <c r="F12" s="32">
        <f>Параметры!B13-B11</f>
        <v>9.5524324324324325E-2</v>
      </c>
      <c r="G12" s="13" t="s">
        <v>23</v>
      </c>
      <c r="H12" s="14" t="s">
        <v>24</v>
      </c>
    </row>
    <row r="13" spans="1:8" ht="85.5">
      <c r="A13" s="4"/>
      <c r="B13" s="4"/>
      <c r="C13" s="4"/>
      <c r="D13" s="4"/>
      <c r="E13" s="48" t="s">
        <v>133</v>
      </c>
      <c r="F13" s="69">
        <f>Параметры!B17</f>
        <v>48</v>
      </c>
      <c r="G13" s="49" t="s">
        <v>134</v>
      </c>
      <c r="H13" s="50" t="s">
        <v>135</v>
      </c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 ht="50.25" customHeight="1">
      <c r="A15" s="74" t="s">
        <v>156</v>
      </c>
      <c r="B15" s="74"/>
      <c r="C15" s="74"/>
      <c r="D15" s="74"/>
      <c r="E15" s="4"/>
      <c r="F15" s="4"/>
      <c r="G15" s="4"/>
      <c r="H15" s="4"/>
    </row>
    <row r="16" spans="1:8" ht="15">
      <c r="A16" s="1" t="s">
        <v>25</v>
      </c>
      <c r="B16" s="3" t="s">
        <v>26</v>
      </c>
      <c r="C16" s="4"/>
      <c r="D16" s="4"/>
      <c r="E16" s="4"/>
      <c r="F16" s="4"/>
      <c r="G16" s="4"/>
      <c r="H16" s="4"/>
    </row>
    <row r="17" spans="1:18" ht="28.5">
      <c r="A17" s="5" t="s">
        <v>27</v>
      </c>
      <c r="B17" s="33">
        <f>F6</f>
        <v>45476.011248952665</v>
      </c>
      <c r="C17" s="4"/>
      <c r="D17" s="4"/>
      <c r="E17" s="4"/>
      <c r="F17" s="4"/>
      <c r="G17" s="4"/>
      <c r="H17" s="4"/>
    </row>
    <row r="18" spans="1:18" ht="28.5">
      <c r="A18" s="5" t="s">
        <v>8</v>
      </c>
      <c r="B18" s="33">
        <f>B6</f>
        <v>12500</v>
      </c>
      <c r="C18" s="4"/>
      <c r="D18" s="4"/>
      <c r="E18" s="4"/>
      <c r="F18" s="4"/>
      <c r="G18" s="4"/>
      <c r="H18" s="4"/>
    </row>
    <row r="19" spans="1:18">
      <c r="A19" s="5" t="s">
        <v>28</v>
      </c>
      <c r="B19" s="33">
        <f>-B5</f>
        <v>-36113.013698630137</v>
      </c>
      <c r="C19" s="4"/>
      <c r="D19" s="4"/>
      <c r="E19" s="4"/>
      <c r="F19" s="4"/>
      <c r="G19" s="4"/>
      <c r="H19" s="4"/>
    </row>
    <row r="20" spans="1:18">
      <c r="A20" s="5" t="s">
        <v>29</v>
      </c>
      <c r="B20" s="33">
        <f>-F7</f>
        <v>-25000</v>
      </c>
      <c r="C20" s="4"/>
      <c r="D20" s="4"/>
      <c r="E20" s="4"/>
      <c r="F20" s="4"/>
      <c r="G20" s="4"/>
      <c r="H20" s="4"/>
    </row>
    <row r="21" spans="1:18">
      <c r="A21" s="5" t="s">
        <v>30</v>
      </c>
      <c r="B21" s="33">
        <f>-F9</f>
        <v>0</v>
      </c>
      <c r="C21" s="4"/>
      <c r="D21" s="4"/>
      <c r="E21" s="4"/>
      <c r="F21" s="4"/>
      <c r="G21" s="4"/>
      <c r="H21" s="4"/>
    </row>
    <row r="22" spans="1:18">
      <c r="A22" s="11" t="s">
        <v>31</v>
      </c>
      <c r="B22" s="34">
        <f>F10</f>
        <v>-3137.0024496774713</v>
      </c>
      <c r="C22" s="4"/>
      <c r="D22" s="4"/>
      <c r="E22" s="4"/>
      <c r="F22" s="4"/>
      <c r="G22" s="4"/>
      <c r="H22" s="4"/>
    </row>
    <row r="23" spans="1:18">
      <c r="A23" s="4"/>
      <c r="B23" s="4"/>
      <c r="C23" s="4"/>
      <c r="D23" s="4"/>
      <c r="E23" s="4"/>
      <c r="F23" s="4"/>
      <c r="G23" s="4"/>
      <c r="H23" s="4"/>
    </row>
    <row r="24" spans="1:18">
      <c r="A24" s="4"/>
      <c r="B24" s="4"/>
      <c r="C24" s="4"/>
      <c r="D24" s="4"/>
      <c r="E24" s="4"/>
      <c r="F24" s="4"/>
      <c r="G24" s="4"/>
      <c r="H24" s="4"/>
    </row>
    <row r="25" spans="1:18">
      <c r="A25" s="4"/>
      <c r="B25" s="4"/>
      <c r="C25" s="4"/>
      <c r="D25" s="4"/>
      <c r="E25" s="4"/>
      <c r="F25" s="4"/>
      <c r="G25" s="4"/>
      <c r="H25" s="4"/>
    </row>
    <row r="26" spans="1:18">
      <c r="A26" s="4"/>
      <c r="B26" s="4"/>
      <c r="C26" s="4"/>
      <c r="D26" s="4"/>
      <c r="E26" s="4"/>
      <c r="F26" s="4"/>
      <c r="G26" s="4"/>
      <c r="H26" s="4"/>
    </row>
    <row r="27" spans="1:18">
      <c r="A27" s="4"/>
      <c r="B27" s="4"/>
      <c r="C27" s="4"/>
      <c r="D27" s="4"/>
      <c r="E27" s="4"/>
      <c r="F27" s="4"/>
      <c r="G27" s="4"/>
      <c r="H27" s="4"/>
    </row>
    <row r="30" spans="1:18" ht="27.95" customHeight="1">
      <c r="A30" s="76" t="s">
        <v>136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1:18" ht="26.1" customHeight="1">
      <c r="A31" s="77" t="s">
        <v>137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</row>
    <row r="32" spans="1:18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</row>
    <row r="33" spans="1:19" ht="48" customHeight="1">
      <c r="A33" s="52" t="s">
        <v>116</v>
      </c>
      <c r="B33" s="52" t="s">
        <v>138</v>
      </c>
      <c r="C33" s="52" t="s">
        <v>118</v>
      </c>
      <c r="D33" s="52" t="s">
        <v>119</v>
      </c>
      <c r="E33" s="52" t="s">
        <v>139</v>
      </c>
      <c r="F33" s="52" t="s">
        <v>120</v>
      </c>
      <c r="G33" s="52" t="s">
        <v>151</v>
      </c>
      <c r="H33" s="52" t="s">
        <v>140</v>
      </c>
      <c r="I33" s="52" t="s">
        <v>43</v>
      </c>
      <c r="J33" s="52" t="s">
        <v>75</v>
      </c>
      <c r="K33" s="52" t="s">
        <v>146</v>
      </c>
      <c r="L33" s="52" t="s">
        <v>167</v>
      </c>
      <c r="M33" s="52" t="s">
        <v>141</v>
      </c>
      <c r="N33" s="52" t="s">
        <v>142</v>
      </c>
      <c r="O33" s="52" t="s">
        <v>165</v>
      </c>
      <c r="P33" s="52" t="s">
        <v>143</v>
      </c>
      <c r="Q33" s="52" t="s">
        <v>144</v>
      </c>
      <c r="R33" s="52" t="s">
        <v>152</v>
      </c>
    </row>
    <row r="34" spans="1:19">
      <c r="A34" s="55" t="s">
        <v>129</v>
      </c>
      <c r="B34" s="56">
        <f>Параметры!B14</f>
        <v>1</v>
      </c>
      <c r="C34" s="56">
        <f>Параметры!B13</f>
        <v>0.18870000000000001</v>
      </c>
      <c r="D34" s="56">
        <f>Параметры!B14</f>
        <v>1</v>
      </c>
      <c r="E34" s="70">
        <f>Параметры!B17</f>
        <v>48</v>
      </c>
      <c r="F34" s="57">
        <v>0</v>
      </c>
      <c r="G34" s="57">
        <v>0</v>
      </c>
      <c r="H34" s="58">
        <f>Расходы!F23</f>
        <v>25000</v>
      </c>
      <c r="I34" s="56">
        <f>Параметры!B7</f>
        <v>0.14249999999999999</v>
      </c>
      <c r="J34" s="59" t="str">
        <f>Параметры!B8</f>
        <v>Годовая</v>
      </c>
      <c r="K34" s="60">
        <f>-CUMIPMT(C34/12,E34,$B$4,1,6,0)</f>
        <v>45476.011248952673</v>
      </c>
      <c r="L34" s="60">
        <f>Параметры!$B$5*Параметры!$B$10*Параметры!$B$11</f>
        <v>12500</v>
      </c>
      <c r="M34" s="60">
        <f>IF(J34="Годовая",Параметры!$B$5*I34*Параметры!$B$6/Параметры!$B$9,Параметры!$B$5*I34)</f>
        <v>36113.013698630137</v>
      </c>
      <c r="N34" s="60">
        <f>(Параметры!$B$5*B34*D34*F34)/6</f>
        <v>0</v>
      </c>
      <c r="O34" s="60">
        <f>Параметры!$B$5*G34*Параметры!$B$6/Параметры!$B$9+H34</f>
        <v>25000</v>
      </c>
      <c r="P34" s="60">
        <f>K34+L34-M34-N34-O34</f>
        <v>-3137.002449677464</v>
      </c>
      <c r="Q34" s="60">
        <f>P34-MAX(0,P34*Параметры!$B$15)</f>
        <v>-3137.002449677464</v>
      </c>
      <c r="R34" s="61">
        <f>Q34/Параметры!$B$5</f>
        <v>-6.2740048993549279E-3</v>
      </c>
      <c r="S34" s="84"/>
    </row>
    <row r="35" spans="1:19" ht="42.75">
      <c r="A35" s="62" t="s">
        <v>160</v>
      </c>
      <c r="B35" s="63">
        <v>1</v>
      </c>
      <c r="C35" s="63">
        <v>0.18870000000000001</v>
      </c>
      <c r="D35" s="63">
        <v>1</v>
      </c>
      <c r="E35" s="68">
        <v>48</v>
      </c>
      <c r="F35" s="63">
        <v>0</v>
      </c>
      <c r="G35" s="63">
        <v>0</v>
      </c>
      <c r="H35" s="64">
        <v>21500</v>
      </c>
      <c r="I35" s="63">
        <v>0.14249999999999999</v>
      </c>
      <c r="J35" s="65" t="s">
        <v>46</v>
      </c>
      <c r="K35" s="60">
        <f t="shared" ref="K34:K35" si="0">-CUMIPMT(C35/12,E35,$B$4,1,6,0)</f>
        <v>45476.011248952673</v>
      </c>
      <c r="L35" s="51">
        <f>Параметры!$B$5*Параметры!$B$10*Параметры!$B$11</f>
        <v>12500</v>
      </c>
      <c r="M35" s="51">
        <f>IF(J35="Годовая",Параметры!$B$5*I35*Параметры!$B$6/Параметры!$B$9,Параметры!$B$5*I35)</f>
        <v>36113.013698630137</v>
      </c>
      <c r="N35" s="60">
        <f>(Параметры!$B$5*B35*D35*F35)/6</f>
        <v>0</v>
      </c>
      <c r="O35" s="51">
        <f>Параметры!$B$5*G35*Параметры!$B$6/Параметры!$B$9+H35</f>
        <v>21500</v>
      </c>
      <c r="P35" s="51">
        <f>K35+L35-M35-N35-O35</f>
        <v>362.99755032253597</v>
      </c>
      <c r="Q35" s="51">
        <f>P35-MAX(0,P35*Параметры!$B$15)</f>
        <v>362.99755032253597</v>
      </c>
      <c r="R35" s="66">
        <f>Q35/Параметры!$B$5</f>
        <v>7.2599510064507192E-4</v>
      </c>
    </row>
    <row r="38" spans="1:19" ht="15">
      <c r="A38" s="74" t="s">
        <v>159</v>
      </c>
      <c r="B38" s="74"/>
      <c r="C38" s="74"/>
      <c r="D38" s="74"/>
    </row>
    <row r="39" spans="1:19" ht="186" customHeight="1">
      <c r="A39" s="88" t="s">
        <v>161</v>
      </c>
      <c r="B39" s="87" t="s">
        <v>162</v>
      </c>
      <c r="C39" s="87"/>
      <c r="D39" s="87"/>
      <c r="E39" s="87"/>
      <c r="L39" s="92"/>
    </row>
    <row r="40" spans="1:19" ht="49.5" customHeight="1">
      <c r="A40" s="88" t="s">
        <v>163</v>
      </c>
      <c r="B40" s="87" t="s">
        <v>164</v>
      </c>
      <c r="C40" s="87"/>
      <c r="D40" s="87"/>
      <c r="E40" s="87"/>
      <c r="K40" s="89" t="s">
        <v>175</v>
      </c>
      <c r="O40" s="89"/>
      <c r="P40" s="89" t="s">
        <v>176</v>
      </c>
    </row>
    <row r="41" spans="1:19" ht="90">
      <c r="A41" s="52" t="s">
        <v>116</v>
      </c>
      <c r="B41" s="52" t="s">
        <v>173</v>
      </c>
      <c r="C41" s="52" t="str">
        <f>O33</f>
        <v>Прочие расходы (ИТ, менеджеры по продажам и др.), руб.</v>
      </c>
      <c r="D41" s="52" t="s">
        <v>171</v>
      </c>
      <c r="E41" s="52" t="str">
        <f>M33</f>
        <v>Проценты клиенту, руб.</v>
      </c>
      <c r="F41" s="52" t="str">
        <f>L33</f>
        <v>Вознаграждение Банку руб.</v>
      </c>
      <c r="G41" s="52" t="str">
        <f>N33</f>
        <v>Кредитные потери, руб.</v>
      </c>
      <c r="H41" s="52" t="str">
        <f>K33</f>
        <v>Доход по кредиту за 6 месяцев, руб.</v>
      </c>
      <c r="I41" s="52" t="s">
        <v>168</v>
      </c>
      <c r="J41" s="52" t="s">
        <v>144</v>
      </c>
      <c r="K41" s="95" t="s">
        <v>172</v>
      </c>
      <c r="L41" s="93" t="str">
        <f>H41</f>
        <v>Доход по кредиту за 6 месяцев, руб.</v>
      </c>
      <c r="M41" s="93" t="s">
        <v>56</v>
      </c>
      <c r="N41" s="52" t="s">
        <v>28</v>
      </c>
      <c r="O41" s="52" t="s">
        <v>144</v>
      </c>
      <c r="P41" s="96" t="s">
        <v>174</v>
      </c>
    </row>
    <row r="42" spans="1:19">
      <c r="A42" t="s">
        <v>166</v>
      </c>
      <c r="B42" s="64">
        <v>20</v>
      </c>
      <c r="C42" s="90">
        <v>1000000</v>
      </c>
      <c r="D42" s="90">
        <f>C42/B42</f>
        <v>50000</v>
      </c>
      <c r="E42" s="60">
        <f>$M$34</f>
        <v>36113.013698630137</v>
      </c>
      <c r="F42" s="90">
        <f>$L$34</f>
        <v>12500</v>
      </c>
      <c r="G42" s="91">
        <f>$N$34</f>
        <v>0</v>
      </c>
      <c r="H42" s="47">
        <f>-CUMIPMT($K$42/12,$I$42,$B$4,1,6,0)</f>
        <v>73613.013698296214</v>
      </c>
      <c r="I42" s="91">
        <f>$E$34</f>
        <v>48</v>
      </c>
      <c r="J42" s="60">
        <f>H42+F42-E42-G42-D42</f>
        <v>-3.3392279874533415E-7</v>
      </c>
      <c r="K42" s="97">
        <v>0.303016299414198</v>
      </c>
      <c r="L42" s="47">
        <f>-CUMIPMT(M42/12,I42,$B$4,1,6,0)</f>
        <v>45476.011248952673</v>
      </c>
      <c r="M42" s="83">
        <f>$C$34</f>
        <v>0.18870000000000001</v>
      </c>
      <c r="N42" s="47">
        <v>30000</v>
      </c>
      <c r="O42" s="60">
        <f>L42+F42-N42-G42-P42</f>
        <v>0</v>
      </c>
      <c r="P42" s="94">
        <v>27976.011248952673</v>
      </c>
    </row>
    <row r="43" spans="1:19">
      <c r="A43" t="s">
        <v>169</v>
      </c>
      <c r="B43" s="64">
        <v>20</v>
      </c>
      <c r="C43" s="90">
        <v>500000</v>
      </c>
      <c r="D43" s="90">
        <f>C43/B43</f>
        <v>25000</v>
      </c>
      <c r="E43" s="60">
        <f t="shared" ref="E43:E44" si="1">$M$34</f>
        <v>36113.013698630137</v>
      </c>
      <c r="F43" s="90">
        <f t="shared" ref="F43:F44" si="2">$L$34</f>
        <v>12500</v>
      </c>
      <c r="G43" s="91">
        <f t="shared" ref="G43:G44" si="3">$N$34</f>
        <v>0</v>
      </c>
      <c r="H43" s="47">
        <f>-CUMIPMT(K43/12,$I$43,$B$4,1,6,0)</f>
        <v>48613.013698661285</v>
      </c>
      <c r="I43" s="91">
        <f>$E$34</f>
        <v>48</v>
      </c>
      <c r="J43" s="60">
        <f>H43+F43-E43-G43-D43</f>
        <v>3.1148374546319246E-8</v>
      </c>
      <c r="K43" s="97">
        <v>0.20151992915427153</v>
      </c>
      <c r="L43" s="47">
        <f t="shared" ref="L43:L44" si="4">-CUMIPMT(M43/12,I43,$B$4,1,6,0)</f>
        <v>38472.35801890694</v>
      </c>
      <c r="M43" s="83">
        <v>0.16</v>
      </c>
      <c r="N43" s="47">
        <v>25000</v>
      </c>
      <c r="O43" s="60">
        <f>L43+F43-N43-G43-P43</f>
        <v>0</v>
      </c>
      <c r="P43" s="94">
        <v>25972.35801890694</v>
      </c>
    </row>
    <row r="44" spans="1:19">
      <c r="A44" t="s">
        <v>170</v>
      </c>
      <c r="B44" s="64">
        <v>20</v>
      </c>
      <c r="C44" s="90">
        <v>250000</v>
      </c>
      <c r="D44" s="90">
        <f>C44/B44</f>
        <v>12500</v>
      </c>
      <c r="E44" s="60">
        <f t="shared" si="1"/>
        <v>36113.013698630137</v>
      </c>
      <c r="F44" s="90">
        <f t="shared" si="2"/>
        <v>12500</v>
      </c>
      <c r="G44" s="91">
        <f t="shared" si="3"/>
        <v>0</v>
      </c>
      <c r="H44" s="47">
        <f>-CUMIPMT(K44/12,$I$44,$B$4,1,6,0)</f>
        <v>36113.013698624425</v>
      </c>
      <c r="I44" s="91">
        <f t="shared" ref="I43:I44" si="5">$E$34</f>
        <v>48</v>
      </c>
      <c r="J44" s="60">
        <f>H44+F44-E44-G44-D44</f>
        <v>-5.7116267271339893E-9</v>
      </c>
      <c r="K44" s="97">
        <v>0.15030611773908084</v>
      </c>
      <c r="L44" s="47">
        <f t="shared" si="4"/>
        <v>33608.264522832054</v>
      </c>
      <c r="M44" s="83">
        <v>0.14000000000000001</v>
      </c>
      <c r="N44" s="47">
        <v>20000</v>
      </c>
      <c r="O44" s="60">
        <f>L44+F44-N44-G44-P44</f>
        <v>0</v>
      </c>
      <c r="P44" s="94">
        <v>26108.264522832054</v>
      </c>
    </row>
  </sheetData>
  <mergeCells count="9">
    <mergeCell ref="B40:E40"/>
    <mergeCell ref="A30:R30"/>
    <mergeCell ref="A31:R31"/>
    <mergeCell ref="A38:D38"/>
    <mergeCell ref="B39:E39"/>
    <mergeCell ref="A15:D15"/>
    <mergeCell ref="A1:H1"/>
    <mergeCell ref="A3:D3"/>
    <mergeCell ref="E3:H3"/>
  </mergeCells>
  <conditionalFormatting sqref="F10">
    <cfRule type="cellIs" dxfId="2" priority="5" operator="lessThan">
      <formula>0</formula>
    </cfRule>
    <cfRule type="cellIs" dxfId="1" priority="6" operator="greaterThanOrEqual">
      <formula>0</formula>
    </cfRule>
  </conditionalFormatting>
  <conditionalFormatting sqref="Q34:Q35">
    <cfRule type="colorScale" priority="14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R34:R35">
    <cfRule type="dataBar" priority="15">
      <dataBar>
        <cfvo type="min"/>
        <cfvo type="max"/>
        <color rgb="FFA02B93"/>
      </dataBar>
    </cfRule>
    <cfRule type="dataBar" priority="16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{844D12D3-BACB-3F5E-9A64-6D4809EC6E64}</x14:id>
        </ext>
      </extLst>
    </cfRule>
  </conditionalFormatting>
  <conditionalFormatting sqref="J42:J44">
    <cfRule type="colorScale" priority="4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O42:O4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dataValidations disablePrompts="1" count="1">
    <dataValidation type="list" sqref="J34:J35" xr:uid="{00000000-0002-0000-0000-000000000000}">
      <formula1>"Годовая,За период"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4D12D3-BACB-3F5E-9A64-6D4809EC6E64}">
            <x14:dataBar>
              <x14:cfvo type="min"/>
              <x14:cfvo type="max"/>
              <x14:negativeFillColor auto="1"/>
              <x14:axisColor auto="1"/>
            </x14:dataBar>
          </x14:cfRule>
          <xm:sqref>R34:R35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B7" sqref="B7"/>
    </sheetView>
  </sheetViews>
  <sheetFormatPr defaultRowHeight="14.25"/>
  <cols>
    <col min="1" max="1" width="36.75" bestFit="1" customWidth="1"/>
    <col min="2" max="2" width="11.375" customWidth="1"/>
    <col min="3" max="3" width="10" customWidth="1"/>
    <col min="4" max="4" width="33" customWidth="1"/>
    <col min="8" max="8" width="18.375" bestFit="1" customWidth="1"/>
    <col min="9" max="9" width="17.25" customWidth="1"/>
  </cols>
  <sheetData>
    <row r="1" spans="1:9" ht="30" customHeight="1">
      <c r="A1" s="75" t="s">
        <v>32</v>
      </c>
      <c r="B1" s="75"/>
      <c r="C1" s="75"/>
      <c r="D1" s="75"/>
    </row>
    <row r="2" spans="1:9">
      <c r="A2" s="4"/>
      <c r="B2" s="4"/>
      <c r="C2" s="4"/>
      <c r="D2" s="4"/>
    </row>
    <row r="3" spans="1:9" ht="15" customHeight="1">
      <c r="A3" s="74" t="s">
        <v>33</v>
      </c>
      <c r="B3" s="74"/>
      <c r="C3" s="74"/>
      <c r="D3" s="74"/>
      <c r="H3" s="74" t="s">
        <v>149</v>
      </c>
      <c r="I3" s="74"/>
    </row>
    <row r="4" spans="1:9" ht="45">
      <c r="A4" s="1" t="s">
        <v>34</v>
      </c>
      <c r="B4" s="2" t="s">
        <v>35</v>
      </c>
      <c r="C4" s="2" t="s">
        <v>36</v>
      </c>
      <c r="D4" s="2" t="s">
        <v>37</v>
      </c>
      <c r="H4" s="1" t="s">
        <v>148</v>
      </c>
      <c r="I4" s="1" t="s">
        <v>9</v>
      </c>
    </row>
    <row r="5" spans="1:9">
      <c r="A5" s="5" t="s">
        <v>38</v>
      </c>
      <c r="B5" s="6">
        <v>500000</v>
      </c>
      <c r="C5" s="4" t="s">
        <v>4</v>
      </c>
      <c r="D5" s="4" t="s">
        <v>39</v>
      </c>
      <c r="H5">
        <v>1</v>
      </c>
      <c r="I5" s="80">
        <f>IPMT($B$13/12,H5,$B$17,-$B$23)</f>
        <v>7862.5</v>
      </c>
    </row>
    <row r="6" spans="1:9">
      <c r="A6" s="5" t="s">
        <v>40</v>
      </c>
      <c r="B6" s="8">
        <v>185</v>
      </c>
      <c r="C6" s="4" t="s">
        <v>41</v>
      </c>
      <c r="D6" s="4" t="s">
        <v>42</v>
      </c>
      <c r="H6">
        <v>2</v>
      </c>
      <c r="I6" s="80">
        <f t="shared" ref="I6:I10" si="0">IPMT($B$13/12,H6,$B$17,-$B$23)</f>
        <v>7751.5871549203648</v>
      </c>
    </row>
    <row r="7" spans="1:9">
      <c r="A7" s="5" t="s">
        <v>43</v>
      </c>
      <c r="B7" s="9">
        <v>0.14249999999999999</v>
      </c>
      <c r="C7" s="4" t="s">
        <v>14</v>
      </c>
      <c r="D7" s="4" t="s">
        <v>44</v>
      </c>
      <c r="H7">
        <v>3</v>
      </c>
      <c r="I7" s="80">
        <f t="shared" si="0"/>
        <v>7638.9302053518531</v>
      </c>
    </row>
    <row r="8" spans="1:9" ht="28.5">
      <c r="A8" s="5" t="s">
        <v>45</v>
      </c>
      <c r="B8" s="42" t="s">
        <v>46</v>
      </c>
      <c r="C8" s="4"/>
      <c r="D8" s="4" t="s">
        <v>47</v>
      </c>
      <c r="H8">
        <v>4</v>
      </c>
      <c r="I8" s="80">
        <f t="shared" si="0"/>
        <v>7524.5017252513762</v>
      </c>
    </row>
    <row r="9" spans="1:9">
      <c r="A9" s="5" t="s">
        <v>48</v>
      </c>
      <c r="B9" s="8">
        <v>365</v>
      </c>
      <c r="C9" s="4" t="s">
        <v>41</v>
      </c>
      <c r="D9" s="4" t="s">
        <v>49</v>
      </c>
      <c r="H9">
        <v>5</v>
      </c>
      <c r="I9" s="80">
        <f t="shared" si="0"/>
        <v>7408.2738573013203</v>
      </c>
    </row>
    <row r="10" spans="1:9" ht="28.5">
      <c r="A10" s="5" t="s">
        <v>50</v>
      </c>
      <c r="B10" s="9">
        <v>0.25</v>
      </c>
      <c r="C10" s="4" t="s">
        <v>14</v>
      </c>
      <c r="D10" s="4" t="s">
        <v>51</v>
      </c>
      <c r="H10">
        <v>6</v>
      </c>
      <c r="I10" s="80">
        <f t="shared" si="0"/>
        <v>7290.2183061277483</v>
      </c>
    </row>
    <row r="11" spans="1:9" ht="15">
      <c r="A11" s="5" t="s">
        <v>52</v>
      </c>
      <c r="B11" s="9">
        <v>0.1</v>
      </c>
      <c r="C11" s="4" t="s">
        <v>14</v>
      </c>
      <c r="D11" s="4" t="s">
        <v>53</v>
      </c>
      <c r="H11" s="81" t="s">
        <v>150</v>
      </c>
      <c r="I11" s="82">
        <f>SUM(I5:I10)</f>
        <v>45476.011248952665</v>
      </c>
    </row>
    <row r="12" spans="1:9">
      <c r="A12" s="4" t="s">
        <v>54</v>
      </c>
      <c r="B12" s="9">
        <v>1</v>
      </c>
      <c r="C12" s="4" t="s">
        <v>14</v>
      </c>
      <c r="D12" s="4" t="s">
        <v>55</v>
      </c>
    </row>
    <row r="13" spans="1:9">
      <c r="A13" s="5" t="s">
        <v>56</v>
      </c>
      <c r="B13" s="9">
        <v>0.18870000000000001</v>
      </c>
      <c r="C13" s="4" t="s">
        <v>14</v>
      </c>
      <c r="D13" s="4" t="s">
        <v>27</v>
      </c>
    </row>
    <row r="14" spans="1:9" ht="28.5">
      <c r="A14" s="5" t="s">
        <v>57</v>
      </c>
      <c r="B14" s="9">
        <v>1</v>
      </c>
      <c r="C14" s="4" t="s">
        <v>14</v>
      </c>
      <c r="D14" s="4" t="s">
        <v>58</v>
      </c>
    </row>
    <row r="15" spans="1:9">
      <c r="A15" s="5" t="s">
        <v>17</v>
      </c>
      <c r="B15" s="9">
        <v>0</v>
      </c>
      <c r="C15" s="4" t="s">
        <v>14</v>
      </c>
      <c r="D15" s="4" t="s">
        <v>31</v>
      </c>
    </row>
    <row r="16" spans="1:9" ht="28.5">
      <c r="A16" s="11" t="s">
        <v>59</v>
      </c>
      <c r="B16" s="12">
        <v>1</v>
      </c>
      <c r="C16" s="13" t="s">
        <v>14</v>
      </c>
      <c r="D16" s="13" t="s">
        <v>60</v>
      </c>
    </row>
    <row r="17" spans="1:4" ht="42.75">
      <c r="A17" s="48" t="s">
        <v>133</v>
      </c>
      <c r="B17" s="67">
        <v>48</v>
      </c>
      <c r="C17" s="49" t="s">
        <v>134</v>
      </c>
      <c r="D17" s="50" t="s">
        <v>145</v>
      </c>
    </row>
    <row r="18" spans="1:4" ht="15">
      <c r="A18" s="74" t="s">
        <v>61</v>
      </c>
      <c r="B18" s="74"/>
      <c r="C18" s="74"/>
      <c r="D18" s="74"/>
    </row>
    <row r="19" spans="1:4" ht="30">
      <c r="A19" s="1" t="s">
        <v>62</v>
      </c>
      <c r="B19" s="2" t="s">
        <v>63</v>
      </c>
      <c r="C19" s="2" t="s">
        <v>36</v>
      </c>
      <c r="D19" s="2"/>
    </row>
    <row r="20" spans="1:4">
      <c r="A20" s="5" t="s">
        <v>64</v>
      </c>
      <c r="B20" s="15">
        <f>B5*B10</f>
        <v>125000</v>
      </c>
      <c r="C20" s="4" t="s">
        <v>4</v>
      </c>
      <c r="D20" s="4"/>
    </row>
    <row r="21" spans="1:4">
      <c r="A21" s="5" t="s">
        <v>65</v>
      </c>
      <c r="B21" s="15">
        <f>B20*B11</f>
        <v>12500</v>
      </c>
      <c r="C21" s="4" t="s">
        <v>4</v>
      </c>
      <c r="D21" s="4"/>
    </row>
    <row r="22" spans="1:4">
      <c r="A22" s="5" t="s">
        <v>55</v>
      </c>
      <c r="B22" s="15">
        <f>B5*B12</f>
        <v>500000</v>
      </c>
      <c r="C22" s="4" t="s">
        <v>4</v>
      </c>
      <c r="D22" s="4"/>
    </row>
    <row r="23" spans="1:4" ht="28.5">
      <c r="A23" s="5" t="s">
        <v>58</v>
      </c>
      <c r="B23" s="15">
        <f>B22*B14</f>
        <v>500000</v>
      </c>
      <c r="C23" s="4" t="s">
        <v>4</v>
      </c>
      <c r="D23" s="4"/>
    </row>
    <row r="24" spans="1:4">
      <c r="A24" s="5" t="s">
        <v>66</v>
      </c>
      <c r="B24" s="15">
        <f>IF(B8="Годовая",B5*B7*B6/B9,B5*B7)</f>
        <v>36113.013698630137</v>
      </c>
      <c r="C24" s="4" t="s">
        <v>4</v>
      </c>
      <c r="D24" s="4"/>
    </row>
    <row r="25" spans="1:4">
      <c r="A25" s="5" t="s">
        <v>147</v>
      </c>
      <c r="B25" s="51">
        <f>(IF(B17=0,0,-PMT(B13/12,B17,B23)*B17-B23))</f>
        <v>215957.49213497341</v>
      </c>
      <c r="C25" s="4" t="s">
        <v>4</v>
      </c>
      <c r="D25" s="4"/>
    </row>
    <row r="26" spans="1:4">
      <c r="A26" s="5" t="s">
        <v>67</v>
      </c>
      <c r="B26" s="15">
        <f>B5*B16</f>
        <v>500000</v>
      </c>
      <c r="C26" s="4" t="s">
        <v>4</v>
      </c>
      <c r="D26" s="4"/>
    </row>
    <row r="27" spans="1:4">
      <c r="A27" s="5" t="s">
        <v>68</v>
      </c>
      <c r="B27" s="15">
        <f>MAX(0,B26-B22)</f>
        <v>0</v>
      </c>
      <c r="C27" s="4" t="s">
        <v>4</v>
      </c>
      <c r="D27" s="4"/>
    </row>
    <row r="28" spans="1:4" ht="28.5">
      <c r="A28" s="11" t="s">
        <v>69</v>
      </c>
      <c r="B28" s="16">
        <f>MAX(0,B26+B24-B22-B25-B21)</f>
        <v>0</v>
      </c>
      <c r="C28" s="13" t="s">
        <v>4</v>
      </c>
      <c r="D28" s="13"/>
    </row>
  </sheetData>
  <mergeCells count="4">
    <mergeCell ref="A1:D1"/>
    <mergeCell ref="A3:D3"/>
    <mergeCell ref="A18:D18"/>
    <mergeCell ref="H3:I3"/>
  </mergeCells>
  <conditionalFormatting sqref="B27:B28">
    <cfRule type="cellIs" dxfId="0" priority="1" operator="greaterThan">
      <formula>0</formula>
    </cfRule>
  </conditionalFormatting>
  <dataValidations count="2">
    <dataValidation type="list" sqref="B8" xr:uid="{00000000-0002-0000-0100-000000000000}">
      <formula1>"Годовая,За период"</formula1>
    </dataValidation>
    <dataValidation sqref="B17" xr:uid="{00000000-0002-0000-0100-000001000000}">
      <formula1>1</formula1>
      <formula2>3650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selection activeCell="F17" sqref="F17"/>
    </sheetView>
  </sheetViews>
  <sheetFormatPr defaultRowHeight="14.25"/>
  <cols>
    <col min="1" max="1" width="34" customWidth="1"/>
    <col min="2" max="2" width="21" customWidth="1"/>
    <col min="3" max="3" width="12" customWidth="1"/>
    <col min="4" max="4" width="14" customWidth="1"/>
    <col min="5" max="5" width="18" customWidth="1"/>
    <col min="6" max="6" width="15.25" customWidth="1"/>
    <col min="7" max="7" width="42" customWidth="1"/>
    <col min="10" max="10" width="12.75" customWidth="1"/>
    <col min="11" max="11" width="19.375" bestFit="1" customWidth="1"/>
    <col min="12" max="12" width="10.125" bestFit="1" customWidth="1"/>
  </cols>
  <sheetData>
    <row r="1" spans="1:12" ht="30" customHeight="1">
      <c r="A1" s="75" t="s">
        <v>70</v>
      </c>
      <c r="B1" s="75"/>
      <c r="C1" s="75"/>
      <c r="D1" s="75"/>
      <c r="E1" s="75"/>
      <c r="F1" s="75"/>
      <c r="G1" s="75"/>
    </row>
    <row r="2" spans="1:12">
      <c r="A2" s="4"/>
      <c r="B2" s="4"/>
      <c r="C2" s="4"/>
      <c r="D2" s="4"/>
      <c r="E2" s="4"/>
      <c r="F2" s="4"/>
      <c r="G2" s="4"/>
    </row>
    <row r="3" spans="1:12">
      <c r="A3" s="78" t="s">
        <v>71</v>
      </c>
      <c r="B3" s="78"/>
      <c r="C3" s="78"/>
      <c r="D3" s="78"/>
      <c r="E3" s="78"/>
      <c r="F3" s="78"/>
      <c r="G3" s="78"/>
    </row>
    <row r="4" spans="1:12">
      <c r="A4" s="4"/>
      <c r="B4" s="4"/>
      <c r="C4" s="4"/>
      <c r="D4" s="4"/>
      <c r="E4" s="4"/>
      <c r="F4" s="4"/>
      <c r="G4" s="4"/>
      <c r="K4" t="s">
        <v>157</v>
      </c>
      <c r="L4" t="s">
        <v>158</v>
      </c>
    </row>
    <row r="5" spans="1:12" ht="30">
      <c r="A5" s="1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3" t="s">
        <v>78</v>
      </c>
      <c r="I5" s="86" t="s">
        <v>154</v>
      </c>
      <c r="J5" s="47">
        <v>1000000</v>
      </c>
      <c r="K5" s="85">
        <v>100</v>
      </c>
      <c r="L5" s="47">
        <f>J5/K5</f>
        <v>10000</v>
      </c>
    </row>
    <row r="6" spans="1:12" ht="15">
      <c r="A6" s="5" t="s">
        <v>79</v>
      </c>
      <c r="B6" s="10" t="s">
        <v>80</v>
      </c>
      <c r="C6" s="9">
        <v>0</v>
      </c>
      <c r="D6" s="10" t="s">
        <v>81</v>
      </c>
      <c r="E6" s="6">
        <v>1000</v>
      </c>
      <c r="F6" s="17">
        <f>IF(B6="Сумма X",Параметры!$B$5,IF(B6="Доступная сумма",Параметры!$B$22,IF(B6="Средний портфель",Параметры!$B$23,IF(B6="Процентный доход",Параметры!$B$25,0))))*C6*IF(D6="Годовая",Параметры!$B$6/Параметры!$B$9,1)+E6</f>
        <v>1000</v>
      </c>
      <c r="G6" s="7" t="s">
        <v>82</v>
      </c>
      <c r="I6" s="86" t="s">
        <v>154</v>
      </c>
      <c r="J6" s="47">
        <v>500000</v>
      </c>
      <c r="K6" s="85">
        <v>20</v>
      </c>
      <c r="L6" s="47">
        <f>J6/K6</f>
        <v>25000</v>
      </c>
    </row>
    <row r="7" spans="1:12" hidden="1">
      <c r="A7" s="5" t="s">
        <v>83</v>
      </c>
      <c r="B7" s="10" t="s">
        <v>80</v>
      </c>
      <c r="C7" s="9">
        <v>0</v>
      </c>
      <c r="D7" s="10" t="s">
        <v>81</v>
      </c>
      <c r="E7" s="6">
        <v>0</v>
      </c>
      <c r="F7" s="17">
        <f>IF(B7="Сумма X",Параметры!$B$5,IF(B7="Доступная сумма",Параметры!$B$22,IF(B7="Средний портфель",Параметры!$B$23,IF(B7="Процентный доход",Параметры!$B$25,0))))*C7*IF(D7="Годовая",Параметры!$B$6/Параметры!$B$9,1)+E7</f>
        <v>0</v>
      </c>
      <c r="G7" s="7" t="s">
        <v>84</v>
      </c>
    </row>
    <row r="8" spans="1:12" hidden="1">
      <c r="A8" s="5" t="s">
        <v>85</v>
      </c>
      <c r="B8" s="10" t="s">
        <v>80</v>
      </c>
      <c r="C8" s="9">
        <v>0</v>
      </c>
      <c r="D8" s="10" t="s">
        <v>81</v>
      </c>
      <c r="E8" s="6">
        <v>0</v>
      </c>
      <c r="F8" s="17">
        <f>IF(B8="Сумма X",Параметры!$B$5,IF(B8="Доступная сумма",Параметры!$B$22,IF(B8="Средний портфель",Параметры!$B$23,IF(B8="Процентный доход",Параметры!$B$25,0))))*C8*IF(D8="Годовая",Параметры!$B$6/Параметры!$B$9,1)+E8</f>
        <v>0</v>
      </c>
      <c r="G8" s="7" t="s">
        <v>86</v>
      </c>
    </row>
    <row r="9" spans="1:12" hidden="1">
      <c r="A9" s="5" t="s">
        <v>87</v>
      </c>
      <c r="B9" s="10" t="s">
        <v>80</v>
      </c>
      <c r="C9" s="9">
        <v>0</v>
      </c>
      <c r="D9" s="10" t="s">
        <v>81</v>
      </c>
      <c r="E9" s="6">
        <v>0</v>
      </c>
      <c r="F9" s="17">
        <f>IF(B9="Сумма X",Параметры!$B$5,IF(B9="Доступная сумма",Параметры!$B$22,IF(B9="Средний портфель",Параметры!$B$23,IF(B9="Процентный доход",Параметры!$B$25,0))))*C9*IF(D9="Годовая",Параметры!$B$6/Параметры!$B$9,1)+E9</f>
        <v>0</v>
      </c>
      <c r="G9" s="7" t="s">
        <v>88</v>
      </c>
    </row>
    <row r="10" spans="1:12">
      <c r="A10" s="5" t="s">
        <v>89</v>
      </c>
      <c r="B10" s="10" t="s">
        <v>80</v>
      </c>
      <c r="C10" s="9">
        <v>0</v>
      </c>
      <c r="D10" s="10" t="s">
        <v>81</v>
      </c>
      <c r="E10" s="6">
        <v>0</v>
      </c>
      <c r="F10" s="17">
        <f>IF(B10="Сумма X",Параметры!$B$5,IF(B10="Доступная сумма",Параметры!$B$22,IF(B10="Средний портфель",Параметры!$B$23,IF(B10="Процентный доход",Параметры!$B$25,0))))*C10*IF(D10="Годовая",Параметры!$B$6/Параметры!$B$9,1)+E10</f>
        <v>0</v>
      </c>
      <c r="G10" s="7" t="s">
        <v>90</v>
      </c>
    </row>
    <row r="11" spans="1:12" ht="28.5" hidden="1">
      <c r="A11" s="5" t="s">
        <v>91</v>
      </c>
      <c r="B11" s="10" t="s">
        <v>80</v>
      </c>
      <c r="C11" s="9"/>
      <c r="D11" s="10" t="s">
        <v>81</v>
      </c>
      <c r="E11" s="6">
        <v>0</v>
      </c>
      <c r="F11" s="17">
        <f>IF(B11="Сумма X",Параметры!$B$5,IF(B11="Доступная сумма",Параметры!$B$22,IF(B11="Средний портфель",Параметры!$B$23,IF(B11="Процентный доход",Параметры!$B$25,0))))*C11*IF(D11="Годовая",Параметры!$B$6/Параметры!$B$9,1)+E11</f>
        <v>0</v>
      </c>
      <c r="G11" s="7" t="s">
        <v>92</v>
      </c>
    </row>
    <row r="12" spans="1:12" hidden="1">
      <c r="A12" s="5" t="s">
        <v>93</v>
      </c>
      <c r="B12" s="10" t="s">
        <v>80</v>
      </c>
      <c r="C12" s="9">
        <v>0</v>
      </c>
      <c r="D12" s="10" t="s">
        <v>46</v>
      </c>
      <c r="E12" s="6">
        <v>0</v>
      </c>
      <c r="F12" s="17">
        <f>IF(B12="Сумма X",Параметры!$B$5,IF(B12="Доступная сумма",Параметры!$B$22,IF(B12="Средний портфель",Параметры!$B$23,IF(B12="Процентный доход",Параметры!$B$25,0))))*C12*IF(D12="Годовая",Параметры!$B$6/Параметры!$B$9,1)+E12</f>
        <v>0</v>
      </c>
      <c r="G12" s="7" t="s">
        <v>94</v>
      </c>
    </row>
    <row r="13" spans="1:12" hidden="1">
      <c r="A13" s="5" t="s">
        <v>95</v>
      </c>
      <c r="B13" s="10" t="s">
        <v>80</v>
      </c>
      <c r="C13" s="9">
        <v>0</v>
      </c>
      <c r="D13" s="10" t="s">
        <v>81</v>
      </c>
      <c r="E13" s="6">
        <v>0</v>
      </c>
      <c r="F13" s="17">
        <f>IF(B13="Сумма X",Параметры!$B$5,IF(B13="Доступная сумма",Параметры!$B$22,IF(B13="Средний портфель",Параметры!$B$23,IF(B13="Процентный доход",Параметры!$B$25,0))))*C13*IF(D13="Годовая",Параметры!$B$6/Параметры!$B$9,1)+E13</f>
        <v>0</v>
      </c>
      <c r="G13" s="7" t="s">
        <v>96</v>
      </c>
    </row>
    <row r="14" spans="1:12" hidden="1">
      <c r="A14" s="5" t="s">
        <v>97</v>
      </c>
      <c r="B14" s="10" t="s">
        <v>80</v>
      </c>
      <c r="C14" s="9">
        <v>0</v>
      </c>
      <c r="D14" s="10" t="s">
        <v>46</v>
      </c>
      <c r="E14" s="6">
        <v>0</v>
      </c>
      <c r="F14" s="17">
        <f>IF(B14="Сумма X",Параметры!$B$5,IF(B14="Доступная сумма",Параметры!$B$22,IF(B14="Средний портфель",Параметры!$B$23,IF(B14="Процентный доход",Параметры!$B$25,0))))*C14*IF(D14="Годовая",Параметры!$B$6/Параметры!$B$9,1)+E14</f>
        <v>0</v>
      </c>
      <c r="G14" s="7" t="s">
        <v>98</v>
      </c>
    </row>
    <row r="15" spans="1:12" ht="28.5">
      <c r="A15" s="5" t="s">
        <v>99</v>
      </c>
      <c r="B15" s="10" t="s">
        <v>80</v>
      </c>
      <c r="C15" s="9">
        <v>0</v>
      </c>
      <c r="D15" s="10" t="s">
        <v>46</v>
      </c>
      <c r="E15" s="6">
        <v>0</v>
      </c>
      <c r="F15" s="17">
        <f>IF(B15="Сумма X",Параметры!$B$5,IF(B15="Доступная сумма",Параметры!$B$22,IF(B15="Средний портфель",Параметры!$B$23,IF(B15="Процентный доход",Параметры!$B$25,0))))*C15*IF(D15="Годовая",Параметры!$B$6/Параметры!$B$9,1)+E15</f>
        <v>0</v>
      </c>
      <c r="G15" s="7" t="s">
        <v>100</v>
      </c>
    </row>
    <row r="16" spans="1:12">
      <c r="A16" s="5" t="s">
        <v>101</v>
      </c>
      <c r="B16" s="10" t="s">
        <v>80</v>
      </c>
      <c r="C16" s="9">
        <v>0</v>
      </c>
      <c r="D16" s="10" t="s">
        <v>81</v>
      </c>
      <c r="E16" s="6">
        <v>0</v>
      </c>
      <c r="F16" s="17">
        <v>24000</v>
      </c>
      <c r="G16" s="7" t="s">
        <v>102</v>
      </c>
    </row>
    <row r="17" spans="1:7" ht="28.5">
      <c r="A17" s="5" t="s">
        <v>103</v>
      </c>
      <c r="B17" s="10" t="s">
        <v>80</v>
      </c>
      <c r="C17" s="9">
        <v>0</v>
      </c>
      <c r="D17" s="10" t="s">
        <v>81</v>
      </c>
      <c r="E17" s="6">
        <v>0</v>
      </c>
      <c r="F17" s="17">
        <f>IF(B17="Сумма X",Параметры!$B$5,IF(B17="Доступная сумма",Параметры!$B$22,IF(B17="Средний портфель",Параметры!$B$23,IF(B17="Процентный доход",Параметры!$B$25,0))))*C17*IF(D17="Годовая",Параметры!$B$6/Параметры!$B$9,1)+E17</f>
        <v>0</v>
      </c>
      <c r="G17" s="7" t="s">
        <v>104</v>
      </c>
    </row>
    <row r="18" spans="1:7">
      <c r="A18" s="5" t="s">
        <v>105</v>
      </c>
      <c r="B18" s="10" t="s">
        <v>80</v>
      </c>
      <c r="C18" s="9">
        <v>0</v>
      </c>
      <c r="D18" s="10" t="s">
        <v>81</v>
      </c>
      <c r="E18" s="6">
        <v>0</v>
      </c>
      <c r="F18" s="17">
        <f>IF(B18="Сумма X",Параметры!$B$5,IF(B18="Доступная сумма",Параметры!$B$22,IF(B18="Средний портфель",Параметры!$B$23,IF(B18="Процентный доход",Параметры!$B$25,0))))*C18*IF(D18="Годовая",Параметры!$B$6/Параметры!$B$9,1)+E18</f>
        <v>0</v>
      </c>
      <c r="G18" s="7" t="s">
        <v>106</v>
      </c>
    </row>
    <row r="19" spans="1:7">
      <c r="A19" s="5" t="s">
        <v>107</v>
      </c>
      <c r="B19" s="10" t="s">
        <v>80</v>
      </c>
      <c r="C19" s="9">
        <v>0</v>
      </c>
      <c r="D19" s="10" t="s">
        <v>81</v>
      </c>
      <c r="E19" s="6">
        <v>0</v>
      </c>
      <c r="F19" s="17">
        <f>IF(B19="Сумма X",Параметры!$B$5,IF(B19="Доступная сумма",Параметры!$B$22,IF(B19="Средний портфель",Параметры!$B$23,IF(B19="Процентный доход",Параметры!$B$25,0))))*C19*IF(D19="Годовая",Параметры!$B$6/Параметры!$B$9,1)+E19</f>
        <v>0</v>
      </c>
      <c r="G19" s="7" t="s">
        <v>108</v>
      </c>
    </row>
    <row r="20" spans="1:7" ht="28.5">
      <c r="A20" s="5" t="s">
        <v>109</v>
      </c>
      <c r="B20" s="10" t="s">
        <v>80</v>
      </c>
      <c r="C20" s="9">
        <v>0</v>
      </c>
      <c r="D20" s="10" t="s">
        <v>81</v>
      </c>
      <c r="E20" s="6">
        <v>0</v>
      </c>
      <c r="F20" s="17">
        <f>IF(B20="Сумма X",Параметры!$B$5,IF(B20="Доступная сумма",Параметры!$B$22,IF(B20="Средний портфель",Параметры!$B$23,IF(B20="Процентный доход",Параметры!$B$25,0))))*C20*IF(D20="Годовая",Параметры!$B$6/Параметры!$B$9,1)+E20</f>
        <v>0</v>
      </c>
      <c r="G20" s="7" t="s">
        <v>110</v>
      </c>
    </row>
    <row r="21" spans="1:7">
      <c r="A21" s="11" t="s">
        <v>111</v>
      </c>
      <c r="B21" s="10" t="s">
        <v>80</v>
      </c>
      <c r="C21" s="12">
        <v>0</v>
      </c>
      <c r="D21" s="18" t="s">
        <v>81</v>
      </c>
      <c r="E21" s="19">
        <v>0</v>
      </c>
      <c r="F21" s="20">
        <f>IF(B21="Сумма X",Параметры!$B$5,IF(B21="Доступная сумма",Параметры!$B$22,IF(B21="Средний портфель",Параметры!$B$23,IF(B21="Процентный доход",Параметры!$B$25,0))))*C21*IF(D21="Годовая",Параметры!$B$6/Параметры!$B$9,1)+E21</f>
        <v>0</v>
      </c>
      <c r="G21" s="14" t="s">
        <v>112</v>
      </c>
    </row>
    <row r="22" spans="1:7">
      <c r="A22" s="4"/>
      <c r="B22" s="4"/>
      <c r="C22" s="4"/>
      <c r="D22" s="4"/>
      <c r="E22" s="4"/>
      <c r="F22" s="4"/>
      <c r="G22" s="4"/>
    </row>
    <row r="23" spans="1:7" ht="15">
      <c r="A23" s="79" t="s">
        <v>113</v>
      </c>
      <c r="B23" s="79"/>
      <c r="C23" s="79"/>
      <c r="D23" s="79"/>
      <c r="E23" s="79"/>
      <c r="F23" s="21">
        <f>SUM(F6:F21)</f>
        <v>25000</v>
      </c>
      <c r="G23" s="22"/>
    </row>
  </sheetData>
  <mergeCells count="3">
    <mergeCell ref="A1:G1"/>
    <mergeCell ref="A3:G3"/>
    <mergeCell ref="A23:E23"/>
  </mergeCells>
  <dataValidations count="2">
    <dataValidation type="list" sqref="D6:D21" xr:uid="{00000000-0002-0000-0200-000000000000}">
      <formula1>"Годовая,За период"</formula1>
    </dataValidation>
    <dataValidation type="list" sqref="B6:B21" xr:uid="{00000000-0002-0000-0200-000001000000}">
      <formula1>"Сумма Вклада,Доступная сумма,Средний портфель,Процентный доход,Фиксировано"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"/>
  <sheetViews>
    <sheetView topLeftCell="E1" workbookViewId="0">
      <selection activeCell="T6" sqref="T6"/>
    </sheetView>
  </sheetViews>
  <sheetFormatPr defaultRowHeight="14.25"/>
  <cols>
    <col min="1" max="1" width="24" customWidth="1"/>
    <col min="2" max="2" width="14" customWidth="1"/>
    <col min="3" max="3" width="16" customWidth="1"/>
    <col min="4" max="4" width="11" customWidth="1"/>
    <col min="5" max="5" width="14" customWidth="1"/>
    <col min="6" max="6" width="16" customWidth="1"/>
    <col min="7" max="7" width="15" customWidth="1"/>
    <col min="8" max="8" width="14" customWidth="1"/>
    <col min="9" max="9" width="13" customWidth="1"/>
    <col min="10" max="10" width="17" customWidth="1"/>
    <col min="11" max="11" width="14" customWidth="1"/>
    <col min="12" max="14" width="16" customWidth="1"/>
    <col min="15" max="16" width="17" customWidth="1"/>
    <col min="17" max="17" width="12" customWidth="1"/>
    <col min="18" max="18" width="17" customWidth="1"/>
    <col min="19" max="19" width="18" customWidth="1"/>
  </cols>
  <sheetData>
    <row r="1" spans="1:19" ht="30" customHeight="1">
      <c r="A1" s="75" t="s">
        <v>114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</row>
    <row r="2" spans="1:1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9">
      <c r="A3" s="78" t="s">
        <v>115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9" ht="45">
      <c r="A5" s="1" t="s">
        <v>116</v>
      </c>
      <c r="B5" s="2" t="s">
        <v>117</v>
      </c>
      <c r="C5" s="2" t="s">
        <v>118</v>
      </c>
      <c r="D5" s="2" t="s">
        <v>119</v>
      </c>
      <c r="E5" s="2" t="s">
        <v>120</v>
      </c>
      <c r="F5" s="2" t="s">
        <v>121</v>
      </c>
      <c r="G5" s="2" t="s">
        <v>122</v>
      </c>
      <c r="H5" s="2" t="s">
        <v>43</v>
      </c>
      <c r="I5" s="2" t="s">
        <v>75</v>
      </c>
      <c r="J5" s="2" t="s">
        <v>123</v>
      </c>
      <c r="K5" s="2" t="s">
        <v>124</v>
      </c>
      <c r="L5" s="2" t="s">
        <v>28</v>
      </c>
      <c r="M5" s="2" t="s">
        <v>125</v>
      </c>
      <c r="N5" s="2" t="s">
        <v>126</v>
      </c>
      <c r="O5" s="2" t="s">
        <v>15</v>
      </c>
      <c r="P5" s="2" t="s">
        <v>31</v>
      </c>
      <c r="Q5" s="2" t="s">
        <v>127</v>
      </c>
      <c r="R5" s="3" t="s">
        <v>128</v>
      </c>
      <c r="S5" s="53" t="s">
        <v>139</v>
      </c>
    </row>
    <row r="6" spans="1:19">
      <c r="A6" s="5" t="s">
        <v>129</v>
      </c>
      <c r="B6" s="35">
        <f>Параметры!B12</f>
        <v>1</v>
      </c>
      <c r="C6" s="35">
        <f>Параметры!B13</f>
        <v>0.18870000000000001</v>
      </c>
      <c r="D6" s="35">
        <f>Параметры!B14</f>
        <v>1</v>
      </c>
      <c r="E6" s="9">
        <v>0.04</v>
      </c>
      <c r="F6" s="9">
        <v>0</v>
      </c>
      <c r="G6" s="41">
        <f>Расходы!F23</f>
        <v>25000</v>
      </c>
      <c r="H6" s="35">
        <f>Параметры!B7</f>
        <v>0.14249999999999999</v>
      </c>
      <c r="I6" s="36" t="str">
        <f>Параметры!B8</f>
        <v>Годовая</v>
      </c>
      <c r="J6" s="15">
        <f>IF(S6=0,0,-PMT(C6/12,S6,Параметры!$B$5*B6*D6)*S6-Параметры!$B$5*B6*D6)</f>
        <v>215957.49213497341</v>
      </c>
      <c r="K6" s="15">
        <f>Параметры!$B$5*Параметры!$B$10*Параметры!$B$11</f>
        <v>12500</v>
      </c>
      <c r="L6" s="15">
        <f>IF(I6="Годовая",Параметры!$B$5*H6*Параметры!$B$6/Параметры!$B$9,Параметры!$B$5*H6)</f>
        <v>36113.013698630137</v>
      </c>
      <c r="M6" s="15">
        <f>Параметры!$B$5*B6*D6*E6*S6/12</f>
        <v>80000</v>
      </c>
      <c r="N6" s="15">
        <f>Параметры!$B$5*F6*Параметры!$B$6/Параметры!$B$9+G6</f>
        <v>25000</v>
      </c>
      <c r="O6" s="15">
        <f>J6+K6-L6-M6-N6</f>
        <v>87344.478436343255</v>
      </c>
      <c r="P6" s="15">
        <f>O6-MAX(0,O6*Параметры!$B$15)</f>
        <v>87344.478436343255</v>
      </c>
      <c r="Q6" s="37">
        <f>P6/Параметры!$B$5</f>
        <v>0.17468895687268651</v>
      </c>
      <c r="R6" s="38">
        <f>IF(OR(S6=0,Параметры!$B$5*B6*D6=0),0,12*RATE(S6,-(Параметры!$B$5*B6*D6+L6+M6+N6-K6)/S6,Параметры!$B$5*B6*D6,0))</f>
        <v>0.11711094939682634</v>
      </c>
      <c r="S6" s="71">
        <f>Параметры!B17</f>
        <v>48</v>
      </c>
    </row>
    <row r="7" spans="1:19">
      <c r="A7" s="5" t="s">
        <v>130</v>
      </c>
      <c r="B7" s="9">
        <v>0.75</v>
      </c>
      <c r="C7" s="9">
        <v>0.2</v>
      </c>
      <c r="D7" s="9">
        <v>0.75</v>
      </c>
      <c r="E7" s="9">
        <v>0.06</v>
      </c>
      <c r="F7" s="9">
        <v>0.03</v>
      </c>
      <c r="G7" s="6">
        <v>5000</v>
      </c>
      <c r="H7" s="9">
        <v>0.14249999999999999</v>
      </c>
      <c r="I7" s="10" t="s">
        <v>46</v>
      </c>
      <c r="J7" s="15">
        <f>IF(S7=0,0,-PMT(C7/12,S7,Параметры!$B$5*B7*D7)*S7-Параметры!$B$5*B7*D7)</f>
        <v>11684.358654511045</v>
      </c>
      <c r="K7" s="15">
        <f>Параметры!$B$5*Параметры!$B$10*Параметры!$B$11</f>
        <v>12500</v>
      </c>
      <c r="L7" s="15">
        <f>IF(I7="Годовая",Параметры!$B$5*H7*Параметры!$B$6/Параметры!$B$9,Параметры!$B$5*H7)</f>
        <v>36113.013698630137</v>
      </c>
      <c r="M7" s="15">
        <f>Параметры!$B$5*B7*D7*E7*S7/12</f>
        <v>5547.9452054794519</v>
      </c>
      <c r="N7" s="15">
        <f>Параметры!$B$5*F7*Параметры!$B$6/Параметры!$B$9+G7</f>
        <v>12602.739726027397</v>
      </c>
      <c r="O7" s="15">
        <f>J7+K7-L7-M7-N7</f>
        <v>-30079.339975625942</v>
      </c>
      <c r="P7" s="15">
        <f>O7-MAX(0,O7*Параметры!$B$15)</f>
        <v>-30079.339975625942</v>
      </c>
      <c r="Q7" s="37">
        <f>P7/Параметры!$B$5</f>
        <v>-6.0158679951251882E-2</v>
      </c>
      <c r="R7" s="38">
        <f>IF(OR(S7=0,Параметры!$B$5*B7*D7=0),0,12*RATE(S7,-(Параметры!$B$5*B7*D7+L7+M7+N7-K7)/S7,Параметры!$B$5*B7*D7,0))</f>
        <v>0.70113871504137337</v>
      </c>
      <c r="S7" s="72">
        <v>3.9452054794520546</v>
      </c>
    </row>
    <row r="8" spans="1:19">
      <c r="A8" s="5" t="s">
        <v>131</v>
      </c>
      <c r="B8" s="9">
        <v>1</v>
      </c>
      <c r="C8" s="9">
        <v>0.28000000000000003</v>
      </c>
      <c r="D8" s="9">
        <v>0.9</v>
      </c>
      <c r="E8" s="9">
        <v>0.03</v>
      </c>
      <c r="F8" s="9">
        <v>1.4999999999999999E-2</v>
      </c>
      <c r="G8" s="6">
        <v>3000</v>
      </c>
      <c r="H8" s="9">
        <v>0.14249999999999999</v>
      </c>
      <c r="I8" s="10" t="s">
        <v>46</v>
      </c>
      <c r="J8" s="15">
        <f>IF(S8=0,0,-PMT(C8/12,S8,Параметры!$B$5*B8*D8)*S8-Параметры!$B$5*B8*D8)</f>
        <v>31610.947376633587</v>
      </c>
      <c r="K8" s="15">
        <f>Параметры!$B$5*Параметры!$B$10*Параметры!$B$11</f>
        <v>12500</v>
      </c>
      <c r="L8" s="15">
        <f>IF(I8="Годовая",Параметры!$B$5*H8*Параметры!$B$6/Параметры!$B$9,Параметры!$B$5*H8)</f>
        <v>36113.013698630137</v>
      </c>
      <c r="M8" s="15">
        <f>Параметры!$B$5*B8*D8*E8*S8/12</f>
        <v>5547.9452054794529</v>
      </c>
      <c r="N8" s="15">
        <f>Параметры!$B$5*F8*Параметры!$B$6/Параметры!$B$9+G8</f>
        <v>6801.3698630136987</v>
      </c>
      <c r="O8" s="15">
        <f>J8+K8-L8-M8-N8</f>
        <v>-4351.3813904897015</v>
      </c>
      <c r="P8" s="15">
        <f>O8-MAX(0,O8*Параметры!$B$15)</f>
        <v>-4351.3813904897015</v>
      </c>
      <c r="Q8" s="37">
        <f>P8/Параметры!$B$5</f>
        <v>-8.7027627809794037E-3</v>
      </c>
      <c r="R8" s="38">
        <f>IF(OR(S8=0,Параметры!$B$5*B8*D8=0),0,12*RATE(S8,-(Параметры!$B$5*B8*D8+L8+M8+N8-K8)/S8,Параметры!$B$5*B8*D8,0))</f>
        <v>0.31791112031780633</v>
      </c>
      <c r="S8" s="72">
        <v>4.9315068493150687</v>
      </c>
    </row>
    <row r="9" spans="1:19">
      <c r="A9" s="11" t="s">
        <v>132</v>
      </c>
      <c r="B9" s="12">
        <v>1</v>
      </c>
      <c r="C9" s="12">
        <v>0.36</v>
      </c>
      <c r="D9" s="12">
        <v>0.95</v>
      </c>
      <c r="E9" s="12">
        <v>1.4999999999999999E-2</v>
      </c>
      <c r="F9" s="12">
        <v>0.01</v>
      </c>
      <c r="G9" s="19">
        <v>2000</v>
      </c>
      <c r="H9" s="12">
        <v>0.14249999999999999</v>
      </c>
      <c r="I9" s="18" t="s">
        <v>46</v>
      </c>
      <c r="J9" s="16">
        <f>IF(S9=0,0,-PMT(C9/12,S9,Параметры!$B$5*B9*D9)*S9-Параметры!$B$5*B9*D9)</f>
        <v>51723.313078553881</v>
      </c>
      <c r="K9" s="16">
        <f>Параметры!$B$5*Параметры!$B$10*Параметры!$B$11</f>
        <v>12500</v>
      </c>
      <c r="L9" s="16">
        <f>IF(I9="Годовая",Параметры!$B$5*H9*Параметры!$B$6/Параметры!$B$9,Параметры!$B$5*H9)</f>
        <v>36113.013698630137</v>
      </c>
      <c r="M9" s="16">
        <f>Параметры!$B$5*B9*D9*E9*S9/12</f>
        <v>3611.3013698630143</v>
      </c>
      <c r="N9" s="16">
        <f>Параметры!$B$5*F9*Параметры!$B$6/Параметры!$B$9+G9</f>
        <v>4534.2465753424658</v>
      </c>
      <c r="O9" s="16">
        <f>J9+K9-L9-M9-N9</f>
        <v>19964.751434718266</v>
      </c>
      <c r="P9" s="16">
        <f>O9-MAX(0,O9*Параметры!$B$15)</f>
        <v>19964.751434718266</v>
      </c>
      <c r="Q9" s="39">
        <f>P9/Параметры!$B$5</f>
        <v>3.9929502869436535E-2</v>
      </c>
      <c r="R9" s="40">
        <f>IF(OR(S9=0,Параметры!$B$5*B9*D9=0),0,12*RATE(S9,-(Параметры!$B$5*B9*D9+L9+M9+N9-K9)/S9,Параметры!$B$5*B9*D9,0))</f>
        <v>0.22309423321546443</v>
      </c>
      <c r="S9" s="73">
        <v>6.0821917808219181</v>
      </c>
    </row>
  </sheetData>
  <mergeCells count="2">
    <mergeCell ref="A1:R1"/>
    <mergeCell ref="A3:R3"/>
  </mergeCells>
  <conditionalFormatting sqref="P6:P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dataValidations count="1">
    <dataValidation type="list" sqref="I6:I9" xr:uid="{00000000-0002-0000-0300-000000000000}">
      <formula1>"Годовая,За период"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Дашборд</vt:lpstr>
      <vt:lpstr>Параметры</vt:lpstr>
      <vt:lpstr>Расходы</vt:lpstr>
      <vt:lpstr>Сценарии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Николаев</cp:lastModifiedBy>
  <dcterms:modified xsi:type="dcterms:W3CDTF">2026-07-15T04:52:08Z</dcterms:modified>
</cp:coreProperties>
</file>