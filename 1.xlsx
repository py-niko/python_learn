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лькулятор" sheetId="1" state="visible" r:id="rId1"/>
    <sheet xmlns:r="http://schemas.openxmlformats.org/officeDocument/2006/relationships" name="Параметры" sheetId="2" state="visible" r:id="rId2"/>
    <sheet xmlns:r="http://schemas.openxmlformats.org/officeDocument/2006/relationships" name="Методология" sheetId="3" state="visible" r:id="rId3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color rgb="00666666"/>
    </font>
    <font>
      <color rgb="000000FF"/>
    </font>
    <font>
      <i val="1"/>
    </font>
    <font>
      <b val="1"/>
      <color rgb="003F1D5B"/>
    </font>
    <font>
      <color rgb="00000000"/>
    </font>
    <font>
      <color rgb="00008000"/>
    </font>
    <font>
      <b val="1"/>
    </font>
    <font>
      <b val="1"/>
      <sz val="11"/>
    </font>
    <font>
      <b val="1"/>
      <sz val="12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ADCF8"/>
      </patternFill>
    </fill>
    <fill>
      <patternFill patternType="solid">
        <fgColor rgb="00EAF3FF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3">
    <border>
      <left/>
      <right/>
      <top/>
      <bottom/>
      <diagonal/>
    </border>
    <border>
      <bottom style="medium">
        <color rgb="001F4E78"/>
      </bottom>
    </border>
    <border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vertical="center" wrapText="1"/>
    </xf>
    <xf numFmtId="0" fontId="6" fillId="4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3" fontId="4" fillId="5" borderId="2" applyAlignment="1" pivotButton="0" quotePrefix="0" xfId="0">
      <alignment horizontal="center" vertical="center" wrapText="1"/>
    </xf>
    <xf numFmtId="3" fontId="7" fillId="0" borderId="2" applyAlignment="1" pivotButton="0" quotePrefix="0" xfId="0">
      <alignment horizontal="center" vertical="center" wrapText="1"/>
    </xf>
    <xf numFmtId="164" fontId="8" fillId="0" borderId="2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3" fontId="7" fillId="6" borderId="0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0" fontId="7" fillId="0" borderId="2" applyAlignment="1" pivotButton="0" quotePrefix="0" xfId="0">
      <alignment vertical="center" wrapText="1"/>
    </xf>
    <xf numFmtId="3" fontId="7" fillId="7" borderId="0" applyAlignment="1" pivotButton="0" quotePrefix="0" xfId="0">
      <alignment vertical="center" wrapText="1"/>
    </xf>
    <xf numFmtId="0" fontId="4" fillId="5" borderId="2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9" fillId="8" borderId="0" applyAlignment="1" pivotButton="0" quotePrefix="0" xfId="0">
      <alignment vertical="center" wrapText="1"/>
    </xf>
    <xf numFmtId="0" fontId="7" fillId="7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3" fontId="7" fillId="0" borderId="0" applyAlignment="1" pivotButton="0" quotePrefix="0" xfId="0">
      <alignment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4CC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OpenAI</author>
  </authors>
  <commentList>
    <comment ref="C5" authorId="0" shapeId="0">
      <text>
        <t>Вводится количество событий по стадии и периоду.</t>
      </text>
    </comment>
    <comment ref="D5" authorId="0" shapeId="0">
      <text>
        <t>Вводится суммарная сумма событий в тенге по стадии и периоду.</t>
      </text>
    </comment>
    <comment ref="J5" authorId="0" shapeId="0">
      <text>
        <t>Формула: MAX(score_count; score_amount) × вес стадии × вес периода.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8" customWidth="1" min="4" max="4"/>
    <col width="18" customWidth="1" min="5" max="5"/>
    <col width="18" customWidth="1" min="6" max="6"/>
    <col width="16" customWidth="1" min="7" max="7"/>
    <col width="12" customWidth="1" min="8" max="8"/>
    <col width="12" customWidth="1" min="9" max="9"/>
    <col width="18" customWidth="1" min="10" max="10"/>
  </cols>
  <sheetData>
    <row r="1" ht="24" customHeight="1">
      <c r="A1" s="1" t="inlineStr">
        <is>
          <t>Упрощенная антифрод скоринг-карта: калькулятор клиента</t>
        </is>
      </c>
    </row>
    <row r="2" ht="24" customHeight="1">
      <c r="A2" s="2" t="inlineStr">
        <is>
          <t>Инструкция: заполните только синие ячейки в колонках C и D. Все остальные поля считаются автоматически.</t>
        </is>
      </c>
    </row>
    <row r="3" ht="24" customHeight="1"/>
    <row r="4" ht="24" customHeight="1">
      <c r="A4" s="3" t="inlineStr">
        <is>
          <t>1. Входные события клиента за 3 / 7 / 30 дней</t>
        </is>
      </c>
    </row>
    <row r="5" ht="24" customHeight="1">
      <c r="A5" s="4" t="inlineStr">
        <is>
          <t>Стадия</t>
        </is>
      </c>
      <c r="B5" s="4" t="inlineStr">
        <is>
          <t>Период</t>
        </is>
      </c>
      <c r="C5" s="4" t="inlineStr">
        <is>
          <t>Количество</t>
        </is>
      </c>
      <c r="D5" s="4" t="inlineStr">
        <is>
          <t>Сумма, тенге</t>
        </is>
      </c>
      <c r="E5" s="4" t="inlineStr">
        <is>
          <t>Score по количеству</t>
        </is>
      </c>
      <c r="F5" s="4" t="inlineStr">
        <is>
          <t>Score по сумме</t>
        </is>
      </c>
      <c r="G5" s="4" t="inlineStr">
        <is>
          <t>Базовый score</t>
        </is>
      </c>
      <c r="H5" s="4" t="inlineStr">
        <is>
          <t>Вес стадии</t>
        </is>
      </c>
      <c r="I5" s="4" t="inlineStr">
        <is>
          <t>Вес периода</t>
        </is>
      </c>
      <c r="J5" s="4" t="inlineStr">
        <is>
          <t>Итоговый score</t>
        </is>
      </c>
    </row>
    <row r="6" ht="24" customHeight="1">
      <c r="A6" s="5" t="inlineStr">
        <is>
          <t>Заявка</t>
        </is>
      </c>
      <c r="B6" s="5" t="inlineStr">
        <is>
          <t>3 дня</t>
        </is>
      </c>
      <c r="C6" s="6" t="n">
        <v>0</v>
      </c>
      <c r="D6" s="6" t="n">
        <v>0</v>
      </c>
      <c r="E6" s="7">
        <f>IF(C6&lt;=1,0,IF(C6&lt;=3,20,IF(C6&lt;=5,50,90)))</f>
        <v/>
      </c>
      <c r="F6" s="7">
        <f>IF(D6&lt;'Параметры'!$B$4,0,IF(D6&lt;'Параметры'!$B$6,30,IF(D6&lt;'Параметры'!$B$7,70,120)))</f>
        <v/>
      </c>
      <c r="G6" s="7">
        <f>MAX(E6,F6)</f>
        <v/>
      </c>
      <c r="H6" s="8">
        <f>VLOOKUP(A6,'Параметры'!$A$18:$B$21,2,FALSE)</f>
        <v/>
      </c>
      <c r="I6" s="8">
        <f>VLOOKUP(B6,'Параметры'!$D$18:$E$20,2,FALSE)</f>
        <v/>
      </c>
      <c r="J6" s="7">
        <f>G6*H6*I6</f>
        <v/>
      </c>
    </row>
    <row r="7" ht="24" customHeight="1">
      <c r="A7" s="5" t="inlineStr">
        <is>
          <t>Заявка</t>
        </is>
      </c>
      <c r="B7" s="5" t="inlineStr">
        <is>
          <t>7 дней</t>
        </is>
      </c>
      <c r="C7" s="6" t="n">
        <v>0</v>
      </c>
      <c r="D7" s="6" t="n">
        <v>0</v>
      </c>
      <c r="E7" s="7">
        <f>IF(C7&lt;=1,0,IF(C7&lt;=3,20,IF(C7&lt;=5,50,90)))</f>
        <v/>
      </c>
      <c r="F7" s="7">
        <f>IF(D7&lt;'Параметры'!$B$4,0,IF(D7&lt;'Параметры'!$B$6,30,IF(D7&lt;'Параметры'!$B$7,70,120)))</f>
        <v/>
      </c>
      <c r="G7" s="7">
        <f>MAX(E7,F7)</f>
        <v/>
      </c>
      <c r="H7" s="8">
        <f>VLOOKUP(A7,'Параметры'!$A$18:$B$21,2,FALSE)</f>
        <v/>
      </c>
      <c r="I7" s="8">
        <f>VLOOKUP(B7,'Параметры'!$D$18:$E$20,2,FALSE)</f>
        <v/>
      </c>
      <c r="J7" s="7">
        <f>G7*H7*I7</f>
        <v/>
      </c>
    </row>
    <row r="8" ht="24" customHeight="1">
      <c r="A8" s="5" t="inlineStr">
        <is>
          <t>Заявка</t>
        </is>
      </c>
      <c r="B8" s="5" t="inlineStr">
        <is>
          <t>30 дней</t>
        </is>
      </c>
      <c r="C8" s="6" t="n">
        <v>0</v>
      </c>
      <c r="D8" s="6" t="n">
        <v>0</v>
      </c>
      <c r="E8" s="7">
        <f>IF(C8&lt;=1,0,IF(C8&lt;=3,20,IF(C8&lt;=5,50,90)))</f>
        <v/>
      </c>
      <c r="F8" s="7">
        <f>IF(D8&lt;'Параметры'!$B$4,0,IF(D8&lt;'Параметры'!$B$6,30,IF(D8&lt;'Параметры'!$B$7,70,120)))</f>
        <v/>
      </c>
      <c r="G8" s="7">
        <f>MAX(E8,F8)</f>
        <v/>
      </c>
      <c r="H8" s="8">
        <f>VLOOKUP(A8,'Параметры'!$A$18:$B$21,2,FALSE)</f>
        <v/>
      </c>
      <c r="I8" s="8">
        <f>VLOOKUP(B8,'Параметры'!$D$18:$E$20,2,FALSE)</f>
        <v/>
      </c>
      <c r="J8" s="7">
        <f>G8*H8*I8</f>
        <v/>
      </c>
    </row>
    <row r="9" ht="24" customHeight="1">
      <c r="A9" s="5" t="inlineStr">
        <is>
          <t>Одобрение</t>
        </is>
      </c>
      <c r="B9" s="5" t="inlineStr">
        <is>
          <t>3 дня</t>
        </is>
      </c>
      <c r="C9" s="6" t="n">
        <v>0</v>
      </c>
      <c r="D9" s="6" t="n">
        <v>0</v>
      </c>
      <c r="E9" s="7">
        <f>IF(C9&lt;=1,0,IF(C9&lt;=3,20,IF(C9&lt;=5,50,90)))</f>
        <v/>
      </c>
      <c r="F9" s="7">
        <f>IF(D9&lt;'Параметры'!$B$4,0,IF(D9&lt;'Параметры'!$B$6,30,IF(D9&lt;'Параметры'!$B$7,70,120)))</f>
        <v/>
      </c>
      <c r="G9" s="7">
        <f>MAX(E9,F9)</f>
        <v/>
      </c>
      <c r="H9" s="8">
        <f>VLOOKUP(A9,'Параметры'!$A$18:$B$21,2,FALSE)</f>
        <v/>
      </c>
      <c r="I9" s="8">
        <f>VLOOKUP(B9,'Параметры'!$D$18:$E$20,2,FALSE)</f>
        <v/>
      </c>
      <c r="J9" s="7">
        <f>G9*H9*I9</f>
        <v/>
      </c>
    </row>
    <row r="10" ht="24" customHeight="1">
      <c r="A10" s="5" t="inlineStr">
        <is>
          <t>Одобрение</t>
        </is>
      </c>
      <c r="B10" s="5" t="inlineStr">
        <is>
          <t>7 дней</t>
        </is>
      </c>
      <c r="C10" s="6" t="n">
        <v>0</v>
      </c>
      <c r="D10" s="6" t="n">
        <v>0</v>
      </c>
      <c r="E10" s="7">
        <f>IF(C10&lt;=1,0,IF(C10&lt;=3,20,IF(C10&lt;=5,50,90)))</f>
        <v/>
      </c>
      <c r="F10" s="7">
        <f>IF(D10&lt;'Параметры'!$B$4,0,IF(D10&lt;'Параметры'!$B$6,30,IF(D10&lt;'Параметры'!$B$7,70,120)))</f>
        <v/>
      </c>
      <c r="G10" s="7">
        <f>MAX(E10,F10)</f>
        <v/>
      </c>
      <c r="H10" s="8">
        <f>VLOOKUP(A10,'Параметры'!$A$18:$B$21,2,FALSE)</f>
        <v/>
      </c>
      <c r="I10" s="8">
        <f>VLOOKUP(B10,'Параметры'!$D$18:$E$20,2,FALSE)</f>
        <v/>
      </c>
      <c r="J10" s="7">
        <f>G10*H10*I10</f>
        <v/>
      </c>
    </row>
    <row r="11" ht="24" customHeight="1">
      <c r="A11" s="5" t="inlineStr">
        <is>
          <t>Одобрение</t>
        </is>
      </c>
      <c r="B11" s="5" t="inlineStr">
        <is>
          <t>30 дней</t>
        </is>
      </c>
      <c r="C11" s="6" t="n">
        <v>0</v>
      </c>
      <c r="D11" s="6" t="n">
        <v>0</v>
      </c>
      <c r="E11" s="7">
        <f>IF(C11&lt;=1,0,IF(C11&lt;=3,20,IF(C11&lt;=5,50,90)))</f>
        <v/>
      </c>
      <c r="F11" s="7">
        <f>IF(D11&lt;'Параметры'!$B$4,0,IF(D11&lt;'Параметры'!$B$6,30,IF(D11&lt;'Параметры'!$B$7,70,120)))</f>
        <v/>
      </c>
      <c r="G11" s="7">
        <f>MAX(E11,F11)</f>
        <v/>
      </c>
      <c r="H11" s="8">
        <f>VLOOKUP(A11,'Параметры'!$A$18:$B$21,2,FALSE)</f>
        <v/>
      </c>
      <c r="I11" s="8">
        <f>VLOOKUP(B11,'Параметры'!$D$18:$E$20,2,FALSE)</f>
        <v/>
      </c>
      <c r="J11" s="7">
        <f>G11*H11*I11</f>
        <v/>
      </c>
    </row>
    <row r="12" ht="24" customHeight="1">
      <c r="A12" s="5" t="inlineStr">
        <is>
          <t>Подписание</t>
        </is>
      </c>
      <c r="B12" s="5" t="inlineStr">
        <is>
          <t>3 дня</t>
        </is>
      </c>
      <c r="C12" s="6" t="n">
        <v>0</v>
      </c>
      <c r="D12" s="6" t="n">
        <v>0</v>
      </c>
      <c r="E12" s="7">
        <f>IF(C12&lt;=1,0,IF(C12&lt;=3,20,IF(C12&lt;=5,50,90)))</f>
        <v/>
      </c>
      <c r="F12" s="7">
        <f>IF(D12&lt;'Параметры'!$B$4,0,IF(D12&lt;'Параметры'!$B$6,30,IF(D12&lt;'Параметры'!$B$7,70,120)))</f>
        <v/>
      </c>
      <c r="G12" s="7">
        <f>MAX(E12,F12)</f>
        <v/>
      </c>
      <c r="H12" s="8">
        <f>VLOOKUP(A12,'Параметры'!$A$18:$B$21,2,FALSE)</f>
        <v/>
      </c>
      <c r="I12" s="8">
        <f>VLOOKUP(B12,'Параметры'!$D$18:$E$20,2,FALSE)</f>
        <v/>
      </c>
      <c r="J12" s="7">
        <f>G12*H12*I12</f>
        <v/>
      </c>
    </row>
    <row r="13" ht="24" customHeight="1">
      <c r="A13" s="5" t="inlineStr">
        <is>
          <t>Подписание</t>
        </is>
      </c>
      <c r="B13" s="5" t="inlineStr">
        <is>
          <t>7 дней</t>
        </is>
      </c>
      <c r="C13" s="6" t="n">
        <v>0</v>
      </c>
      <c r="D13" s="6" t="n">
        <v>0</v>
      </c>
      <c r="E13" s="7">
        <f>IF(C13&lt;=1,0,IF(C13&lt;=3,20,IF(C13&lt;=5,50,90)))</f>
        <v/>
      </c>
      <c r="F13" s="7">
        <f>IF(D13&lt;'Параметры'!$B$4,0,IF(D13&lt;'Параметры'!$B$6,30,IF(D13&lt;'Параметры'!$B$7,70,120)))</f>
        <v/>
      </c>
      <c r="G13" s="7">
        <f>MAX(E13,F13)</f>
        <v/>
      </c>
      <c r="H13" s="8">
        <f>VLOOKUP(A13,'Параметры'!$A$18:$B$21,2,FALSE)</f>
        <v/>
      </c>
      <c r="I13" s="8">
        <f>VLOOKUP(B13,'Параметры'!$D$18:$E$20,2,FALSE)</f>
        <v/>
      </c>
      <c r="J13" s="7">
        <f>G13*H13*I13</f>
        <v/>
      </c>
    </row>
    <row r="14" ht="24" customHeight="1">
      <c r="A14" s="5" t="inlineStr">
        <is>
          <t>Подписание</t>
        </is>
      </c>
      <c r="B14" s="5" t="inlineStr">
        <is>
          <t>30 дней</t>
        </is>
      </c>
      <c r="C14" s="6" t="n">
        <v>0</v>
      </c>
      <c r="D14" s="6" t="n">
        <v>0</v>
      </c>
      <c r="E14" s="7">
        <f>IF(C14&lt;=1,0,IF(C14&lt;=3,20,IF(C14&lt;=5,50,90)))</f>
        <v/>
      </c>
      <c r="F14" s="7">
        <f>IF(D14&lt;'Параметры'!$B$4,0,IF(D14&lt;'Параметры'!$B$6,30,IF(D14&lt;'Параметры'!$B$7,70,120)))</f>
        <v/>
      </c>
      <c r="G14" s="7">
        <f>MAX(E14,F14)</f>
        <v/>
      </c>
      <c r="H14" s="8">
        <f>VLOOKUP(A14,'Параметры'!$A$18:$B$21,2,FALSE)</f>
        <v/>
      </c>
      <c r="I14" s="8">
        <f>VLOOKUP(B14,'Параметры'!$D$18:$E$20,2,FALSE)</f>
        <v/>
      </c>
      <c r="J14" s="7">
        <f>G14*H14*I14</f>
        <v/>
      </c>
    </row>
    <row r="15" ht="24" customHeight="1">
      <c r="A15" s="5" t="inlineStr">
        <is>
          <t>Выдача</t>
        </is>
      </c>
      <c r="B15" s="5" t="inlineStr">
        <is>
          <t>3 дня</t>
        </is>
      </c>
      <c r="C15" s="6" t="n">
        <v>0</v>
      </c>
      <c r="D15" s="6" t="n">
        <v>0</v>
      </c>
      <c r="E15" s="7">
        <f>IF(C15&lt;=1,0,IF(C15&lt;=3,20,IF(C15&lt;=5,50,90)))</f>
        <v/>
      </c>
      <c r="F15" s="7">
        <f>IF(D15&lt;'Параметры'!$B$4,0,IF(D15&lt;'Параметры'!$B$6,30,IF(D15&lt;'Параметры'!$B$7,70,120)))</f>
        <v/>
      </c>
      <c r="G15" s="7">
        <f>MAX(E15,F15)</f>
        <v/>
      </c>
      <c r="H15" s="8">
        <f>VLOOKUP(A15,'Параметры'!$A$18:$B$21,2,FALSE)</f>
        <v/>
      </c>
      <c r="I15" s="8">
        <f>VLOOKUP(B15,'Параметры'!$D$18:$E$20,2,FALSE)</f>
        <v/>
      </c>
      <c r="J15" s="7">
        <f>G15*H15*I15</f>
        <v/>
      </c>
    </row>
    <row r="16" ht="24" customHeight="1">
      <c r="A16" s="5" t="inlineStr">
        <is>
          <t>Выдача</t>
        </is>
      </c>
      <c r="B16" s="5" t="inlineStr">
        <is>
          <t>7 дней</t>
        </is>
      </c>
      <c r="C16" s="6" t="n">
        <v>0</v>
      </c>
      <c r="D16" s="6" t="n">
        <v>0</v>
      </c>
      <c r="E16" s="7">
        <f>IF(C16&lt;=1,0,IF(C16&lt;=3,20,IF(C16&lt;=5,50,90)))</f>
        <v/>
      </c>
      <c r="F16" s="7">
        <f>IF(D16&lt;'Параметры'!$B$4,0,IF(D16&lt;'Параметры'!$B$6,30,IF(D16&lt;'Параметры'!$B$7,70,120)))</f>
        <v/>
      </c>
      <c r="G16" s="7">
        <f>MAX(E16,F16)</f>
        <v/>
      </c>
      <c r="H16" s="8">
        <f>VLOOKUP(A16,'Параметры'!$A$18:$B$21,2,FALSE)</f>
        <v/>
      </c>
      <c r="I16" s="8">
        <f>VLOOKUP(B16,'Параметры'!$D$18:$E$20,2,FALSE)</f>
        <v/>
      </c>
      <c r="J16" s="7">
        <f>G16*H16*I16</f>
        <v/>
      </c>
    </row>
    <row r="17" ht="24" customHeight="1">
      <c r="A17" s="5" t="inlineStr">
        <is>
          <t>Выдача</t>
        </is>
      </c>
      <c r="B17" s="5" t="inlineStr">
        <is>
          <t>30 дней</t>
        </is>
      </c>
      <c r="C17" s="6" t="n">
        <v>0</v>
      </c>
      <c r="D17" s="6" t="n">
        <v>0</v>
      </c>
      <c r="E17" s="7">
        <f>IF(C17&lt;=1,0,IF(C17&lt;=3,20,IF(C17&lt;=5,50,90)))</f>
        <v/>
      </c>
      <c r="F17" s="7">
        <f>IF(D17&lt;'Параметры'!$B$4,0,IF(D17&lt;'Параметры'!$B$6,30,IF(D17&lt;'Параметры'!$B$7,70,120)))</f>
        <v/>
      </c>
      <c r="G17" s="7">
        <f>MAX(E17,F17)</f>
        <v/>
      </c>
      <c r="H17" s="8">
        <f>VLOOKUP(A17,'Параметры'!$A$18:$B$21,2,FALSE)</f>
        <v/>
      </c>
      <c r="I17" s="8">
        <f>VLOOKUP(B17,'Параметры'!$D$18:$E$20,2,FALSE)</f>
        <v/>
      </c>
      <c r="J17" s="7">
        <f>G17*H17*I17</f>
        <v/>
      </c>
    </row>
    <row r="18" ht="24" customHeight="1"/>
    <row r="19" ht="24" customHeight="1">
      <c r="I19" s="9" t="inlineStr">
        <is>
          <t>Итого base score</t>
        </is>
      </c>
      <c r="J19" s="10">
        <f>SUM(J6:J17)</f>
        <v/>
      </c>
    </row>
    <row r="20" ht="24" customHeight="1"/>
    <row r="21" ht="24" customHeight="1">
      <c r="A21" s="3" t="inlineStr">
        <is>
          <t>2. Правила комбинаций</t>
        </is>
      </c>
    </row>
    <row r="22" ht="24" customHeight="1">
      <c r="A22" s="4" t="inlineStr">
        <is>
          <t>Правило</t>
        </is>
      </c>
      <c r="B22" s="4" t="inlineStr">
        <is>
          <t>Условие</t>
        </is>
      </c>
      <c r="C22" s="4" t="inlineStr">
        <is>
          <t>Флаг</t>
        </is>
      </c>
      <c r="D22" s="4" t="inlineStr">
        <is>
          <t>Доп. score</t>
        </is>
      </c>
      <c r="E22" s="4" t="inlineStr">
        <is>
          <t>Комментарий</t>
        </is>
      </c>
    </row>
    <row r="23" ht="24" customHeight="1">
      <c r="A23" s="11" t="inlineStr">
        <is>
          <t>Есть выдача + новая заявка</t>
        </is>
      </c>
      <c r="B23" s="11" t="inlineStr">
        <is>
          <t>Выдача 30D &gt; 0 И Заявка 7D &gt; 0</t>
        </is>
      </c>
      <c r="C23" s="12">
        <f>IF(AND(C17&gt;0,C7&gt;0),1,0)</f>
        <v/>
      </c>
      <c r="D23" s="12">
        <f>C23*'Параметры'!$B$25</f>
        <v/>
      </c>
      <c r="E23" s="11" t="inlineStr">
        <is>
          <t>Риск набора новой долговой нагрузки после выдачи</t>
        </is>
      </c>
    </row>
    <row r="24" ht="24" customHeight="1">
      <c r="A24" s="11" t="inlineStr">
        <is>
          <t>Есть выдача + одобрение</t>
        </is>
      </c>
      <c r="B24" s="11" t="inlineStr">
        <is>
          <t>Выдача 30D &gt; 0 И Одобрение 7D &gt; 0</t>
        </is>
      </c>
      <c r="C24" s="12">
        <f>IF(AND(C17&gt;0,C10&gt;0),1,0)</f>
        <v/>
      </c>
      <c r="D24" s="12">
        <f>C24*'Параметры'!$B$26</f>
        <v/>
      </c>
      <c r="E24" s="11" t="inlineStr">
        <is>
          <t>Клиент уже получил деньги и снова проходит к одобрению</t>
        </is>
      </c>
    </row>
    <row r="25" ht="24" customHeight="1">
      <c r="A25" s="11" t="inlineStr">
        <is>
          <t>2+ выдачи за 30 дней</t>
        </is>
      </c>
      <c r="B25" s="11" t="inlineStr">
        <is>
          <t>Выдача 30D &gt;= 2</t>
        </is>
      </c>
      <c r="C25" s="12">
        <f>IF(C17&gt;=2,1,0)</f>
        <v/>
      </c>
      <c r="D25" s="12">
        <f>C25*'Параметры'!$B$27</f>
        <v/>
      </c>
      <c r="E25" s="11" t="inlineStr">
        <is>
          <t>Высокий debt stacking risk</t>
        </is>
      </c>
    </row>
    <row r="26" ht="24" customHeight="1">
      <c r="A26" s="11" t="inlineStr">
        <is>
          <t>Все 4 стадии за 30 дней</t>
        </is>
      </c>
      <c r="B26" s="11" t="inlineStr">
        <is>
          <t>Заявка/одобрение/подписание/выдача 30D &gt; 0</t>
        </is>
      </c>
      <c r="C26" s="12">
        <f>IF(AND(C8&gt;0,C11&gt;0,C14&gt;0,C17&gt;0),1,0)</f>
        <v/>
      </c>
      <c r="D26" s="12">
        <f>C26*'Параметры'!$B$28</f>
        <v/>
      </c>
      <c r="E26" s="11" t="inlineStr">
        <is>
          <t>Полный кредитный funnel за короткий период</t>
        </is>
      </c>
    </row>
    <row r="27" ht="24" customHeight="1">
      <c r="A27" s="11" t="inlineStr">
        <is>
          <t>&gt;7 событий за 7 дней</t>
        </is>
      </c>
      <c r="B27" s="11" t="inlineStr">
        <is>
          <t>Сумма событий 7D &gt; 7</t>
        </is>
      </c>
      <c r="C27" s="12">
        <f>IF(SUM(C7,C10,C13,C16)&gt;7,1,0)</f>
        <v/>
      </c>
      <c r="D27" s="12">
        <f>C27*'Параметры'!$B$29</f>
        <v/>
      </c>
      <c r="E27" s="11" t="inlineStr">
        <is>
          <t>Агрессивная активность</t>
        </is>
      </c>
    </row>
    <row r="28" ht="24" customHeight="1"/>
    <row r="29" ht="24" customHeight="1">
      <c r="C29" s="9" t="inlineStr">
        <is>
          <t>Итого доп. score</t>
        </is>
      </c>
      <c r="D29" s="13">
        <f>SUM(D23:D27)</f>
        <v/>
      </c>
    </row>
    <row r="30" ht="24" customHeight="1"/>
    <row r="31" ht="24" customHeight="1">
      <c r="A31" s="3" t="inlineStr">
        <is>
          <t>3. Hard rules</t>
        </is>
      </c>
    </row>
    <row r="32" ht="24" customHeight="1">
      <c r="A32" s="4" t="inlineStr">
        <is>
          <t>Hard rule</t>
        </is>
      </c>
      <c r="B32" s="4" t="inlineStr">
        <is>
          <t>Есть?</t>
        </is>
      </c>
      <c r="C32" s="4" t="inlineStr">
        <is>
          <t>Комментарий</t>
        </is>
      </c>
    </row>
    <row r="33" ht="24" customHeight="1">
      <c r="A33" s="11" t="inlineStr">
        <is>
          <t>Blacklist</t>
        </is>
      </c>
      <c r="B33" s="14" t="inlineStr">
        <is>
          <t>Нет</t>
        </is>
      </c>
      <c r="C33" s="11" t="inlineStr">
        <is>
          <t>Если клиент/документ/телефон в черном списке</t>
        </is>
      </c>
    </row>
    <row r="34" ht="24" customHeight="1">
      <c r="A34" s="11" t="inlineStr">
        <is>
          <t>Fraud device</t>
        </is>
      </c>
      <c r="B34" s="14" t="inlineStr">
        <is>
          <t>Нет</t>
        </is>
      </c>
      <c r="C34" s="11" t="inlineStr">
        <is>
          <t>Устройство связано с подтвержденным мошенничеством</t>
        </is>
      </c>
    </row>
    <row r="35" ht="24" customHeight="1">
      <c r="A35" s="11" t="inlineStr">
        <is>
          <t>Fake document</t>
        </is>
      </c>
      <c r="B35" s="14" t="inlineStr">
        <is>
          <t>Нет</t>
        </is>
      </c>
      <c r="C35" s="11" t="inlineStr">
        <is>
          <t>Поддельный или подозрительный документ</t>
        </is>
      </c>
    </row>
    <row r="36" ht="24" customHeight="1"/>
    <row r="37" ht="24" customHeight="1">
      <c r="A37" s="9" t="inlineStr">
        <is>
          <t>Есть hard rule?</t>
        </is>
      </c>
      <c r="B37" s="15">
        <f>COUNTIF(B33:B35,"Да")</f>
        <v/>
      </c>
    </row>
    <row r="38" ht="24" customHeight="1"/>
    <row r="39" ht="24" customHeight="1">
      <c r="A39" s="3" t="inlineStr">
        <is>
          <t>4. Итоговое решение</t>
        </is>
      </c>
    </row>
    <row r="40" ht="24" customHeight="1">
      <c r="A40" s="16" t="inlineStr">
        <is>
          <t>Base score</t>
        </is>
      </c>
      <c r="B40" s="10">
        <f>J19</f>
        <v/>
      </c>
    </row>
    <row r="41" ht="24" customHeight="1">
      <c r="A41" s="16" t="inlineStr">
        <is>
          <t>Combination score</t>
        </is>
      </c>
      <c r="B41" s="10">
        <f>D29</f>
        <v/>
      </c>
    </row>
    <row r="42" ht="24" customHeight="1">
      <c r="A42" s="16" t="inlineStr">
        <is>
          <t>Total score</t>
        </is>
      </c>
      <c r="B42" s="10">
        <f>B40+B41</f>
        <v/>
      </c>
    </row>
    <row r="43" ht="24" customHeight="1">
      <c r="A43" s="16" t="inlineStr">
        <is>
          <t>Решение</t>
        </is>
      </c>
      <c r="B43" s="17">
        <f>IF(B37&gt;0,"ОТКАЗ (hard rule)",IF(B42&lt;80,"Стандартная заявка",IF(B42&lt;150,"Дополнительная проверка",IF(B42&lt;250,"Anti-Fraud Review","Отказ"))))</f>
        <v/>
      </c>
    </row>
    <row r="44" ht="24" customHeight="1">
      <c r="A44" s="16" t="inlineStr">
        <is>
          <t>Причина</t>
        </is>
      </c>
      <c r="B44" s="17">
        <f>IF(B37&gt;0,"Сработало hard rule",IF(B42&lt;80,"Низкий поведенческий риск",IF(B42&lt;150,"Средний риск: нужна доп. проверка",IF(B42&lt;250,"Высокий риск: ручная проверка antifraud","Критический риск: рекомендован отказ"))))</f>
        <v/>
      </c>
    </row>
  </sheetData>
  <mergeCells count="6">
    <mergeCell ref="A1:J1"/>
    <mergeCell ref="A31:J31"/>
    <mergeCell ref="A21:J21"/>
    <mergeCell ref="A39:J39"/>
    <mergeCell ref="A4:J4"/>
    <mergeCell ref="A2:J2"/>
  </mergeCells>
  <conditionalFormatting sqref="B43">
    <cfRule type="expression" priority="1" dxfId="0">
      <formula>ISNUMBER(SEARCH("Отказ",B43))</formula>
    </cfRule>
    <cfRule type="expression" priority="2" dxfId="1">
      <formula>ISNUMBER(SEARCH("Дополнительная",B43))</formula>
    </cfRule>
    <cfRule type="expression" priority="3" dxfId="2">
      <formula>ISNUMBER(SEARCH("Стандартная",B43))</formula>
    </cfRule>
  </conditionalFormatting>
  <dataValidations count="1">
    <dataValidation sqref="B33:B35" showDropDown="0" showInputMessage="0" showErrorMessage="0" allowBlank="0" type="list">
      <formula1>"Да,Нет"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4" customWidth="1" min="3" max="3"/>
    <col width="20" customWidth="1" min="4" max="4"/>
    <col width="28" customWidth="1" min="5" max="5"/>
  </cols>
  <sheetData>
    <row r="1" ht="24" customHeight="1">
      <c r="A1" s="18" t="inlineStr">
        <is>
          <t>Параметры модели</t>
        </is>
      </c>
    </row>
    <row r="2" ht="24" customHeight="1"/>
    <row r="3" ht="24" customHeight="1">
      <c r="A3" s="19" t="inlineStr">
        <is>
          <t>Порог суммы, тенге</t>
        </is>
      </c>
      <c r="B3" s="19" t="inlineStr">
        <is>
          <t>Значение</t>
        </is>
      </c>
      <c r="C3" s="19" t="inlineStr">
        <is>
          <t>Score</t>
        </is>
      </c>
      <c r="D3" s="4" t="n"/>
      <c r="E3" s="4" t="n"/>
    </row>
    <row r="4" ht="24" customHeight="1">
      <c r="A4" s="20" t="inlineStr">
        <is>
          <t>Низкая сумма: меньше</t>
        </is>
      </c>
      <c r="B4" s="21" t="n">
        <v>500000</v>
      </c>
      <c r="C4" s="21" t="n">
        <v>0</v>
      </c>
    </row>
    <row r="5" ht="24" customHeight="1">
      <c r="A5" s="20" t="inlineStr">
        <is>
          <t>Средняя сумма: от</t>
        </is>
      </c>
      <c r="B5" s="21" t="n">
        <v>500000</v>
      </c>
      <c r="C5" s="21" t="n">
        <v>30</v>
      </c>
    </row>
    <row r="6" ht="24" customHeight="1">
      <c r="A6" s="20" t="inlineStr">
        <is>
          <t>Высокая сумма: от</t>
        </is>
      </c>
      <c r="B6" s="21" t="n">
        <v>2000000</v>
      </c>
      <c r="C6" s="21" t="n">
        <v>70</v>
      </c>
    </row>
    <row r="7" ht="24" customHeight="1">
      <c r="A7" s="20" t="inlineStr">
        <is>
          <t>Очень высокая сумма: от</t>
        </is>
      </c>
      <c r="B7" s="21" t="n">
        <v>5000000</v>
      </c>
      <c r="C7" s="21" t="n">
        <v>120</v>
      </c>
    </row>
    <row r="8" ht="24" customHeight="1"/>
    <row r="9" ht="24" customHeight="1"/>
    <row r="10" ht="24" customHeight="1">
      <c r="A10" s="19" t="inlineStr">
        <is>
          <t>Пороги по количеству</t>
        </is>
      </c>
      <c r="B10" s="19" t="inlineStr">
        <is>
          <t>Score</t>
        </is>
      </c>
      <c r="C10" s="4" t="n"/>
      <c r="D10" s="4" t="n"/>
      <c r="E10" s="4" t="n"/>
    </row>
    <row r="11" ht="24" customHeight="1">
      <c r="A11" s="20" t="inlineStr">
        <is>
          <t>0–1 события</t>
        </is>
      </c>
      <c r="B11" s="21" t="n">
        <v>0</v>
      </c>
    </row>
    <row r="12" ht="24" customHeight="1">
      <c r="A12" s="20" t="inlineStr">
        <is>
          <t>2–3 события</t>
        </is>
      </c>
      <c r="B12" s="21" t="n">
        <v>20</v>
      </c>
    </row>
    <row r="13" ht="24" customHeight="1">
      <c r="A13" s="20" t="inlineStr">
        <is>
          <t>4–5 событий</t>
        </is>
      </c>
      <c r="B13" s="21" t="n">
        <v>50</v>
      </c>
    </row>
    <row r="14" ht="24" customHeight="1">
      <c r="A14" s="20" t="inlineStr">
        <is>
          <t>&gt;5 событий</t>
        </is>
      </c>
      <c r="B14" s="21" t="n">
        <v>90</v>
      </c>
    </row>
    <row r="15" ht="24" customHeight="1"/>
    <row r="16" ht="24" customHeight="1"/>
    <row r="17" ht="24" customHeight="1">
      <c r="A17" s="19" t="inlineStr">
        <is>
          <t>Вес стадии</t>
        </is>
      </c>
      <c r="B17" s="19" t="inlineStr">
        <is>
          <t>Вес</t>
        </is>
      </c>
      <c r="C17" s="4" t="n"/>
      <c r="D17" s="19" t="inlineStr">
        <is>
          <t>Вес периода</t>
        </is>
      </c>
      <c r="E17" s="19" t="inlineStr">
        <is>
          <t>Вес</t>
        </is>
      </c>
    </row>
    <row r="18" ht="24" customHeight="1">
      <c r="A18" s="20" t="inlineStr">
        <is>
          <t>Заявка</t>
        </is>
      </c>
      <c r="B18" s="21" t="n">
        <v>1</v>
      </c>
      <c r="D18" s="20" t="inlineStr">
        <is>
          <t>3 дня</t>
        </is>
      </c>
      <c r="E18" s="21" t="n">
        <v>2</v>
      </c>
    </row>
    <row r="19" ht="24" customHeight="1">
      <c r="A19" s="20" t="inlineStr">
        <is>
          <t>Одобрение</t>
        </is>
      </c>
      <c r="B19" s="21" t="n">
        <v>2</v>
      </c>
      <c r="D19" s="20" t="inlineStr">
        <is>
          <t>7 дней</t>
        </is>
      </c>
      <c r="E19" s="21" t="n">
        <v>1.5</v>
      </c>
    </row>
    <row r="20" ht="24" customHeight="1">
      <c r="A20" s="20" t="inlineStr">
        <is>
          <t>Подписание</t>
        </is>
      </c>
      <c r="B20" s="21" t="n">
        <v>3</v>
      </c>
      <c r="D20" s="20" t="inlineStr">
        <is>
          <t>30 дней</t>
        </is>
      </c>
      <c r="E20" s="21" t="n">
        <v>1</v>
      </c>
    </row>
    <row r="21" ht="24" customHeight="1">
      <c r="A21" s="20" t="inlineStr">
        <is>
          <t>Выдача</t>
        </is>
      </c>
      <c r="B21" s="21" t="n">
        <v>5</v>
      </c>
    </row>
    <row r="22" ht="24" customHeight="1"/>
    <row r="23" ht="24" customHeight="1"/>
    <row r="24" ht="24" customHeight="1">
      <c r="A24" s="19" t="inlineStr">
        <is>
          <t>Правило комбинации</t>
        </is>
      </c>
      <c r="B24" s="19" t="inlineStr">
        <is>
          <t>Доп. score</t>
        </is>
      </c>
      <c r="C24" s="4" t="n"/>
      <c r="D24" s="19" t="inlineStr">
        <is>
          <t>Порог решения</t>
        </is>
      </c>
      <c r="E24" s="19" t="inlineStr">
        <is>
          <t>Решение</t>
        </is>
      </c>
    </row>
    <row r="25" ht="24" customHeight="1">
      <c r="A25" s="20" t="inlineStr">
        <is>
          <t>Есть выдача за 30 дней + новая заявка за 7 дней</t>
        </is>
      </c>
      <c r="B25" s="21" t="n">
        <v>50</v>
      </c>
      <c r="D25" s="20" t="inlineStr">
        <is>
          <t>0–79</t>
        </is>
      </c>
      <c r="E25" s="20" t="inlineStr">
        <is>
          <t>Стандартная заявка</t>
        </is>
      </c>
    </row>
    <row r="26" ht="24" customHeight="1">
      <c r="A26" s="20" t="inlineStr">
        <is>
          <t>Есть выдача за 30 дней + одобрение за 7 дней</t>
        </is>
      </c>
      <c r="B26" s="21" t="n">
        <v>70</v>
      </c>
      <c r="D26" s="20" t="inlineStr">
        <is>
          <t>80–149</t>
        </is>
      </c>
      <c r="E26" s="20" t="inlineStr">
        <is>
          <t>Дополнительная проверка</t>
        </is>
      </c>
    </row>
    <row r="27" ht="24" customHeight="1">
      <c r="A27" s="20" t="inlineStr">
        <is>
          <t>2+ выдачи за 30 дней</t>
        </is>
      </c>
      <c r="B27" s="21" t="n">
        <v>100</v>
      </c>
      <c r="D27" s="20" t="inlineStr">
        <is>
          <t>150–249</t>
        </is>
      </c>
      <c r="E27" s="20" t="inlineStr">
        <is>
          <t>Anti-Fraud Review</t>
        </is>
      </c>
    </row>
    <row r="28" ht="24" customHeight="1">
      <c r="A28" s="20" t="inlineStr">
        <is>
          <t>Все 4 стадии за 30 дней</t>
        </is>
      </c>
      <c r="B28" s="21" t="n">
        <v>120</v>
      </c>
      <c r="D28" s="20" t="inlineStr">
        <is>
          <t>250+</t>
        </is>
      </c>
      <c r="E28" s="20" t="inlineStr">
        <is>
          <t>Отказ</t>
        </is>
      </c>
    </row>
    <row r="29" ht="24" customHeight="1">
      <c r="A29" s="20" t="inlineStr">
        <is>
          <t>&gt;7 событий за 7 дней</t>
        </is>
      </c>
      <c r="B29" s="21" t="n">
        <v>70</v>
      </c>
    </row>
  </sheetData>
  <mergeCells count="1">
    <mergeCell ref="A1:E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80" customWidth="1" min="2" max="2"/>
    <col width="20" customWidth="1" min="3" max="3"/>
    <col width="20" customWidth="1" min="4" max="4"/>
  </cols>
  <sheetData>
    <row r="1" ht="24" customHeight="1">
      <c r="A1" s="1" t="inlineStr">
        <is>
          <t>Методология упрощенной scorecard</t>
        </is>
      </c>
    </row>
    <row r="2" ht="24" customHeight="1">
      <c r="A2" s="4" t="inlineStr">
        <is>
          <t>Раздел</t>
        </is>
      </c>
      <c r="B2" s="4" t="inlineStr">
        <is>
          <t>Описание</t>
        </is>
      </c>
      <c r="C2" s="4" t="n"/>
      <c r="D2" s="4" t="n"/>
    </row>
    <row r="3" ht="24" customHeight="1">
      <c r="A3" s="22" t="inlineStr">
        <is>
          <t>Цель</t>
        </is>
      </c>
      <c r="B3" s="22" t="inlineStr">
        <is>
          <t>Выявление credit abuse / debt stacking / агрессивного набора кредитов по совокупности событий.</t>
        </is>
      </c>
    </row>
    <row r="4" ht="24" customHeight="1">
      <c r="A4" s="22" t="inlineStr">
        <is>
          <t>Блоки</t>
        </is>
      </c>
      <c r="B4" s="22" t="inlineStr">
        <is>
          <t>Заявка, Одобрение, Подписание, Выдача.</t>
        </is>
      </c>
    </row>
    <row r="5" ht="24" customHeight="1">
      <c r="A5" s="22" t="inlineStr">
        <is>
          <t>Периоды</t>
        </is>
      </c>
      <c r="B5" s="22" t="inlineStr">
        <is>
          <t>3 дня — резкая активность; 7 дней — velocity risk; 30 дней — debt stacking.</t>
        </is>
      </c>
    </row>
    <row r="6" ht="24" customHeight="1">
      <c r="A6" s="22" t="inlineStr">
        <is>
          <t>Базовый score</t>
        </is>
      </c>
      <c r="B6" s="22" t="inlineStr">
        <is>
          <t>Для каждой строки берется MAX(score по количеству, score по сумме).</t>
        </is>
      </c>
    </row>
    <row r="7" ht="24" customHeight="1">
      <c r="A7" s="22" t="inlineStr">
        <is>
          <t>Взвешивание</t>
        </is>
      </c>
      <c r="B7" s="22" t="inlineStr">
        <is>
          <t>Базовый score умножается на вес стадии и вес периода.</t>
        </is>
      </c>
    </row>
    <row r="8" ht="24" customHeight="1">
      <c r="A8" s="22" t="inlineStr">
        <is>
          <t>Комбинации</t>
        </is>
      </c>
      <c r="B8" s="22" t="inlineStr">
        <is>
          <t>Добавляют риск, если клиент уже получил кредит и продолжает набирать новые заявки/одобрения.</t>
        </is>
      </c>
    </row>
    <row r="9" ht="24" customHeight="1">
      <c r="A9" s="22" t="inlineStr">
        <is>
          <t>Hard rules</t>
        </is>
      </c>
      <c r="B9" s="22" t="inlineStr">
        <is>
          <t>Если есть blacklist, fraud device или fake document — итоговое решение сразу отказ.</t>
        </is>
      </c>
    </row>
    <row r="10" ht="24" customHeight="1">
      <c r="A10" s="22" t="inlineStr">
        <is>
          <t>Калибровка</t>
        </is>
      </c>
      <c r="B10" s="22" t="inlineStr">
        <is>
          <t>Пороги суммы, веса и доп. score можно менять на листе «Параметры».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2026-05-06T10:13:28Z</dcterms:created>
  <dcterms:modified xmlns:dcterms="http://purl.org/dc/terms/" xmlns:xsi="http://www.w3.org/2001/XMLSchema-instance" xsi:type="dcterms:W3CDTF">2026-05-06T10:14:59Z</dcterms:modified>
</cp:coreProperties>
</file>