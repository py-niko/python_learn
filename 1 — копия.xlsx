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_nikolaev\Downloads\"/>
    </mc:Choice>
  </mc:AlternateContent>
  <bookViews>
    <workbookView xWindow="0" yWindow="0" windowWidth="28800" windowHeight="12300" activeTab="1"/>
  </bookViews>
  <sheets>
    <sheet name="Калькулятор_исх" sheetId="1" r:id="rId1"/>
    <sheet name="Калькулятор" sheetId="5" r:id="rId2"/>
    <sheet name="Параметры" sheetId="4" r:id="rId3"/>
    <sheet name="Параметры_исх" sheetId="2" r:id="rId4"/>
    <sheet name="Методология" sheetId="3" r:id="rId5"/>
  </sheets>
  <calcPr calcId="162913" forceFullCalc="1"/>
</workbook>
</file>

<file path=xl/calcChain.xml><?xml version="1.0" encoding="utf-8"?>
<calcChain xmlns="http://schemas.openxmlformats.org/spreadsheetml/2006/main">
  <c r="C28" i="5" l="1"/>
  <c r="D28" i="5" s="1"/>
  <c r="C25" i="5"/>
  <c r="D25" i="5" s="1"/>
  <c r="C24" i="5"/>
  <c r="D24" i="5" s="1"/>
  <c r="C23" i="5"/>
  <c r="D23" i="5" s="1"/>
  <c r="C27" i="5"/>
  <c r="D27" i="5" s="1"/>
  <c r="C26" i="5"/>
  <c r="D26" i="5" s="1"/>
  <c r="J7" i="5"/>
  <c r="G7" i="5"/>
  <c r="G8" i="5"/>
  <c r="G9" i="5"/>
  <c r="G10" i="5"/>
  <c r="G11" i="5"/>
  <c r="G12" i="5"/>
  <c r="G13" i="5"/>
  <c r="G14" i="5"/>
  <c r="G15" i="5"/>
  <c r="G16" i="5"/>
  <c r="G17" i="5"/>
  <c r="G6" i="5"/>
  <c r="E6" i="5"/>
  <c r="J8" i="5" l="1"/>
  <c r="E16" i="5"/>
  <c r="E17" i="5"/>
  <c r="F6" i="5"/>
  <c r="H6" i="5" s="1"/>
  <c r="E7" i="5"/>
  <c r="E8" i="5"/>
  <c r="E9" i="5"/>
  <c r="E10" i="5"/>
  <c r="E11" i="5"/>
  <c r="E12" i="5"/>
  <c r="E13" i="5"/>
  <c r="E14" i="5"/>
  <c r="E15" i="5"/>
  <c r="F7" i="5"/>
  <c r="H7" i="5" s="1"/>
  <c r="F8" i="5"/>
  <c r="H8" i="5" s="1"/>
  <c r="F9" i="5"/>
  <c r="H9" i="5" s="1"/>
  <c r="F10" i="5"/>
  <c r="H10" i="5" s="1"/>
  <c r="F11" i="5"/>
  <c r="H11" i="5" s="1"/>
  <c r="F12" i="5"/>
  <c r="H12" i="5" s="1"/>
  <c r="F13" i="5"/>
  <c r="H13" i="5" s="1"/>
  <c r="F14" i="5"/>
  <c r="H14" i="5" s="1"/>
  <c r="F15" i="5"/>
  <c r="H15" i="5" s="1"/>
  <c r="F16" i="5"/>
  <c r="H16" i="5" s="1"/>
  <c r="F17" i="5"/>
  <c r="H17" i="5" s="1"/>
  <c r="J9" i="5"/>
  <c r="J10" i="5"/>
  <c r="J11" i="5"/>
  <c r="J12" i="5"/>
  <c r="J13" i="5"/>
  <c r="J14" i="5"/>
  <c r="J15" i="5"/>
  <c r="J16" i="5"/>
  <c r="J17" i="5"/>
  <c r="J6" i="5"/>
  <c r="I7" i="5"/>
  <c r="I8" i="5"/>
  <c r="I9" i="5"/>
  <c r="I10" i="5"/>
  <c r="I11" i="5"/>
  <c r="I12" i="5"/>
  <c r="I13" i="5"/>
  <c r="I14" i="5"/>
  <c r="I15" i="5"/>
  <c r="I16" i="5"/>
  <c r="I17" i="5"/>
  <c r="I6" i="5"/>
  <c r="H6" i="1"/>
  <c r="H11" i="1"/>
  <c r="E7" i="1"/>
  <c r="E8" i="1"/>
  <c r="E9" i="1"/>
  <c r="E10" i="1"/>
  <c r="E11" i="1"/>
  <c r="E12" i="1"/>
  <c r="E13" i="1"/>
  <c r="E14" i="1"/>
  <c r="E15" i="1"/>
  <c r="E16" i="1"/>
  <c r="E17" i="1"/>
  <c r="E6" i="1"/>
  <c r="F6" i="1"/>
  <c r="C24" i="1"/>
  <c r="D24" i="1" s="1"/>
  <c r="C23" i="1"/>
  <c r="D23" i="1" s="1"/>
  <c r="C25" i="1"/>
  <c r="D25" i="1" s="1"/>
  <c r="B37" i="1"/>
  <c r="F12" i="1"/>
  <c r="C27" i="1"/>
  <c r="D27" i="1" s="1"/>
  <c r="C26" i="1"/>
  <c r="D26" i="1" s="1"/>
  <c r="I17" i="1"/>
  <c r="H17" i="1"/>
  <c r="F17" i="1"/>
  <c r="I16" i="1"/>
  <c r="H16" i="1"/>
  <c r="F16" i="1"/>
  <c r="I15" i="1"/>
  <c r="H15" i="1"/>
  <c r="F15" i="1"/>
  <c r="I14" i="1"/>
  <c r="H14" i="1"/>
  <c r="F14" i="1"/>
  <c r="I13" i="1"/>
  <c r="H13" i="1"/>
  <c r="F13" i="1"/>
  <c r="I12" i="1"/>
  <c r="H12" i="1"/>
  <c r="I11" i="1"/>
  <c r="F11" i="1"/>
  <c r="I10" i="1"/>
  <c r="H10" i="1"/>
  <c r="F10" i="1"/>
  <c r="I9" i="1"/>
  <c r="H9" i="1"/>
  <c r="F9" i="1"/>
  <c r="I8" i="1"/>
  <c r="H8" i="1"/>
  <c r="F8" i="1"/>
  <c r="I7" i="1"/>
  <c r="H7" i="1"/>
  <c r="F7" i="1"/>
  <c r="I6" i="1"/>
  <c r="K12" i="5" l="1"/>
  <c r="K8" i="5"/>
  <c r="K15" i="5"/>
  <c r="K11" i="5"/>
  <c r="K7" i="5"/>
  <c r="K6" i="5"/>
  <c r="K17" i="5"/>
  <c r="K13" i="5"/>
  <c r="K9" i="5"/>
  <c r="K14" i="5"/>
  <c r="K10" i="5"/>
  <c r="K16" i="5"/>
  <c r="D30" i="5"/>
  <c r="B36" i="5" s="1"/>
  <c r="G12" i="1"/>
  <c r="J12" i="1" s="1"/>
  <c r="G6" i="1"/>
  <c r="J6" i="1" s="1"/>
  <c r="G8" i="1"/>
  <c r="J8" i="1" s="1"/>
  <c r="G10" i="1"/>
  <c r="J10" i="1" s="1"/>
  <c r="G14" i="1"/>
  <c r="J14" i="1" s="1"/>
  <c r="G16" i="1"/>
  <c r="J16" i="1" s="1"/>
  <c r="G17" i="1"/>
  <c r="J17" i="1" s="1"/>
  <c r="D29" i="1"/>
  <c r="B41" i="1" s="1"/>
  <c r="G7" i="1"/>
  <c r="J7" i="1" s="1"/>
  <c r="G9" i="1"/>
  <c r="J9" i="1" s="1"/>
  <c r="G11" i="1"/>
  <c r="J11" i="1" s="1"/>
  <c r="G15" i="1"/>
  <c r="J15" i="1" s="1"/>
  <c r="G13" i="1"/>
  <c r="J13" i="1" s="1"/>
  <c r="K19" i="5" l="1"/>
  <c r="B35" i="5" s="1"/>
  <c r="B37" i="5" s="1"/>
  <c r="B38" i="5" s="1"/>
  <c r="J19" i="1"/>
  <c r="B40" i="1" s="1"/>
  <c r="B42" i="1" l="1"/>
  <c r="B43" i="1" s="1"/>
  <c r="B39" i="5" l="1"/>
  <c r="B44" i="1"/>
</calcChain>
</file>

<file path=xl/comments1.xml><?xml version="1.0" encoding="utf-8"?>
<comments xmlns="http://schemas.openxmlformats.org/spreadsheetml/2006/main">
  <authors>
    <author>OpenAI</author>
  </authors>
  <commentList>
    <comment ref="C5" authorId="0" shapeId="0">
      <text>
        <r>
          <rPr>
            <sz val="11"/>
            <color theme="1"/>
            <rFont val="Calibri"/>
            <family val="2"/>
            <scheme val="minor"/>
          </rPr>
          <t>Вводится количество событий по стадии и периоду.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Заполняется суммарная сумма событий в рублях по стадии и периоду.</t>
        </r>
      </text>
    </comment>
    <comment ref="J5" authorId="0" shapeId="0">
      <text>
        <r>
          <rPr>
            <sz val="11"/>
            <color theme="1"/>
            <rFont val="Calibri"/>
            <family val="2"/>
            <scheme val="minor"/>
          </rPr>
          <t>Формула: MAX(score_count; score_amount) × вес стадии × вес периода.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C5" authorId="0" shapeId="0">
      <text>
        <r>
          <rPr>
            <sz val="11"/>
            <color theme="1"/>
            <rFont val="Calibri"/>
            <family val="2"/>
            <scheme val="minor"/>
          </rPr>
          <t>Вводится количество событий по стадии и периоду.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Заполняется суммарная сумма событий в рублях по стадии и периоду.</t>
        </r>
      </text>
    </comment>
    <comment ref="K5" authorId="0" shapeId="0">
      <text>
        <r>
          <rPr>
            <sz val="11"/>
            <color theme="1"/>
            <rFont val="Calibri"/>
            <family val="2"/>
            <scheme val="minor"/>
          </rPr>
          <t>Формула: MAX(score_count; score_amount) × вес стадии × вес периода.</t>
        </r>
      </text>
    </comment>
  </commentList>
</comments>
</file>

<file path=xl/sharedStrings.xml><?xml version="1.0" encoding="utf-8"?>
<sst xmlns="http://schemas.openxmlformats.org/spreadsheetml/2006/main" count="252" uniqueCount="125">
  <si>
    <t>Упрощенная антифрод скоринг-карта: калькулятор клиента</t>
  </si>
  <si>
    <t>Инструкция: заполните только синие ячейки в колонках C и D. Все остальные поля считаются автоматически.</t>
  </si>
  <si>
    <t>1. Входные события клиента за 3 / 7 / 30 дней</t>
  </si>
  <si>
    <t>Стадия</t>
  </si>
  <si>
    <t>Период</t>
  </si>
  <si>
    <t>Количество</t>
  </si>
  <si>
    <t>Score по количеству</t>
  </si>
  <si>
    <t>Score по сумме</t>
  </si>
  <si>
    <t>Базовый score</t>
  </si>
  <si>
    <t>Вес стадии</t>
  </si>
  <si>
    <t>Вес периода</t>
  </si>
  <si>
    <t>Итоговый score</t>
  </si>
  <si>
    <t>Заявка</t>
  </si>
  <si>
    <t>3 дня</t>
  </si>
  <si>
    <t>7 дней</t>
  </si>
  <si>
    <t>30 дней</t>
  </si>
  <si>
    <t>Одобрение</t>
  </si>
  <si>
    <t>Подписание</t>
  </si>
  <si>
    <t>Выдача</t>
  </si>
  <si>
    <t>Итого base score</t>
  </si>
  <si>
    <t>2. Правила комбинаций</t>
  </si>
  <si>
    <t>Правило</t>
  </si>
  <si>
    <t>Условие</t>
  </si>
  <si>
    <t>Флаг</t>
  </si>
  <si>
    <t>Доп. score</t>
  </si>
  <si>
    <t>Комментарий</t>
  </si>
  <si>
    <t>Есть выдача + новая заявка</t>
  </si>
  <si>
    <t>Риск набора новой долговой нагрузки после выдачи</t>
  </si>
  <si>
    <t>Есть выдача + одобрение</t>
  </si>
  <si>
    <t>Клиент уже получил деньги и снова проходит к одобрению</t>
  </si>
  <si>
    <t>2+ выдачи за 30 дней</t>
  </si>
  <si>
    <t>Высокий debt stacking risk</t>
  </si>
  <si>
    <t>Все 4 стадии за 30 дней</t>
  </si>
  <si>
    <t>Заявка/одобрение/подписание/выдача 30D &gt; 0</t>
  </si>
  <si>
    <t>Полный кредитный funnel за короткий период</t>
  </si>
  <si>
    <t>&gt;7 событий за 7 дней</t>
  </si>
  <si>
    <t>Сумма событий 7D &gt; 7</t>
  </si>
  <si>
    <t>Агрессивная активность</t>
  </si>
  <si>
    <t>Итого доп. score</t>
  </si>
  <si>
    <t>3. Hard rules</t>
  </si>
  <si>
    <t>Hard rule</t>
  </si>
  <si>
    <t>Есть?</t>
  </si>
  <si>
    <t>Blacklist</t>
  </si>
  <si>
    <t>Нет</t>
  </si>
  <si>
    <t>Если клиент/документ/телефон в черном списке</t>
  </si>
  <si>
    <t>Fraud device</t>
  </si>
  <si>
    <t>Устройство связано с подтвержденным мошенничеством</t>
  </si>
  <si>
    <t>Fake document</t>
  </si>
  <si>
    <t>Поддельный или подозрительный документ</t>
  </si>
  <si>
    <t>Есть hard rule?</t>
  </si>
  <si>
    <t>4. Итоговое решение</t>
  </si>
  <si>
    <t>Base score</t>
  </si>
  <si>
    <t>Combination score</t>
  </si>
  <si>
    <t>Total score</t>
  </si>
  <si>
    <t>Решение</t>
  </si>
  <si>
    <t>Причина</t>
  </si>
  <si>
    <t>Параметры модели</t>
  </si>
  <si>
    <t>Значение</t>
  </si>
  <si>
    <t>Низкая сумма: меньше</t>
  </si>
  <si>
    <t>Средняя сумма: от</t>
  </si>
  <si>
    <t>Высокая сумма: от</t>
  </si>
  <si>
    <t>Очень высокая сумма: от</t>
  </si>
  <si>
    <t>Пороги по количеству</t>
  </si>
  <si>
    <t>0–1 события</t>
  </si>
  <si>
    <t>2–3 события</t>
  </si>
  <si>
    <t>4–5 событий</t>
  </si>
  <si>
    <t>&gt;5 событий</t>
  </si>
  <si>
    <t>Вес</t>
  </si>
  <si>
    <t>Правило комбинации</t>
  </si>
  <si>
    <t>Порог решения</t>
  </si>
  <si>
    <t>Есть выдача за 30 дней + новая заявка за 7 дней</t>
  </si>
  <si>
    <t>0–79</t>
  </si>
  <si>
    <t>Стандартная заявка</t>
  </si>
  <si>
    <t>Есть выдача за 30 дней + одобрение за 7 дней</t>
  </si>
  <si>
    <t>80–149</t>
  </si>
  <si>
    <t>Дополнительная проверка</t>
  </si>
  <si>
    <t>150–249</t>
  </si>
  <si>
    <t>Anti-Fraud Review</t>
  </si>
  <si>
    <t>250+</t>
  </si>
  <si>
    <t>Отказ</t>
  </si>
  <si>
    <t>Методология упрощенной scorecard</t>
  </si>
  <si>
    <t>Раздел</t>
  </si>
  <si>
    <t>Описание</t>
  </si>
  <si>
    <t>Цель</t>
  </si>
  <si>
    <t>Блоки</t>
  </si>
  <si>
    <t>Заявка, Одобрение, Подписание, Выдача.</t>
  </si>
  <si>
    <t>Периоды</t>
  </si>
  <si>
    <t>Для каждой строки берется MAX(score по количеству, score по сумме).</t>
  </si>
  <si>
    <t>Взвешивание</t>
  </si>
  <si>
    <t>Базовый score умножается на вес стадии и вес периода.</t>
  </si>
  <si>
    <t>Комбинации</t>
  </si>
  <si>
    <t>Добавляют риск, если клиент уже получил кредит и продолжает набирать новые заявки/одобрения.</t>
  </si>
  <si>
    <t>Калибровка</t>
  </si>
  <si>
    <t>Пороги суммы, веса и доп. score можно менять на листе «Параметры».</t>
  </si>
  <si>
    <t>Сумма, рублей</t>
  </si>
  <si>
    <t>Порог суммы, рублей</t>
  </si>
  <si>
    <t>Балл</t>
  </si>
  <si>
    <t>Выдача 30Д &gt;= 2</t>
  </si>
  <si>
    <t>Выдача 30Д &gt; 0 И Одобрение 7D &gt; 0</t>
  </si>
  <si>
    <t>Выдача 30Д &gt; 0 И Заявка 7D &gt; 0</t>
  </si>
  <si>
    <t>ДО</t>
  </si>
  <si>
    <t>ОТ</t>
  </si>
  <si>
    <t>ЗНАЧЕНИЕ</t>
  </si>
  <si>
    <t>3. Итоговое решение</t>
  </si>
  <si>
    <t>Выявление агрессивного набора кредитов по совокупности событий.</t>
  </si>
  <si>
    <t>3 дня — резкая активность; 7 дней — средний риск; 30 дней — debt риск накопления.</t>
  </si>
  <si>
    <t>Небольшая сумма: меньше</t>
  </si>
  <si>
    <t>Средняя сумма события, рублей</t>
  </si>
  <si>
    <t>Сумма событий 7D &gt; 15</t>
  </si>
  <si>
    <t>Значение базовый score</t>
  </si>
  <si>
    <t>Пороги по количеству  заявок на кредит</t>
  </si>
  <si>
    <t>Сумма заявок, рублей</t>
  </si>
  <si>
    <t>Проверка уровня 1</t>
  </si>
  <si>
    <t>Проверка уровня 2</t>
  </si>
  <si>
    <t>Выдача 14Д &gt; 1 И Заявка 7Д &gt; 1</t>
  </si>
  <si>
    <t>Выдача 14Д &gt; 0 И Одобрение 7Д &gt; 0</t>
  </si>
  <si>
    <t>Выдача 30Д &gt; 2 И Заявка 14Д &gt; 0</t>
  </si>
  <si>
    <t>Выдача 30Д &gt; 0 И Одобрение 14Д &gt; 0</t>
  </si>
  <si>
    <t>Сумма событий 14Д &gt; 15</t>
  </si>
  <si>
    <t>Выдача 14Д &gt; 1 И Заявка 7Д &gt; 0</t>
  </si>
  <si>
    <t>Выдача 30Д &gt; 0 И Одобрение 14Д&gt; 0</t>
  </si>
  <si>
    <t>14 дней</t>
  </si>
  <si>
    <t>&gt;15 событий за 14 дней</t>
  </si>
  <si>
    <t>Правила учёта</t>
  </si>
  <si>
    <t xml:space="preserve">В таблице Входные события клиента за 3 / 7 / 30 дней по каждому уникальному кредиту (по УИД) учитывается самое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</si>
</sst>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"/>
    <numFmt numFmtId="165" formatCode="#,##0.0"/>
    <numFmt numFmtId="167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i/>
      <sz val="11"/>
      <name val="Calibri"/>
    </font>
    <font>
      <b/>
      <sz val="11"/>
      <color rgb="FF3F1D5B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DCF8"/>
      </patternFill>
    </fill>
    <fill>
      <patternFill patternType="solid">
        <fgColor rgb="FFEAF3FF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3" fontId="7" fillId="6" borderId="0" xfId="0" applyNumberFormat="1" applyFont="1" applyFill="1" applyAlignment="1">
      <alignment vertical="center" wrapText="1"/>
    </xf>
    <xf numFmtId="0" fontId="0" fillId="0" borderId="2" xfId="0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3" fontId="7" fillId="7" borderId="0" xfId="0" applyNumberFormat="1" applyFont="1" applyFill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0" fontId="0" fillId="0" borderId="2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6" fillId="4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65" fontId="7" fillId="0" borderId="0" xfId="0" applyNumberFormat="1" applyFont="1" applyAlignment="1">
      <alignment vertical="center" wrapText="1"/>
    </xf>
    <xf numFmtId="2" fontId="8" fillId="0" borderId="2" xfId="0" applyNumberFormat="1" applyFont="1" applyBorder="1" applyAlignment="1">
      <alignment horizontal="center" vertical="center" wrapText="1"/>
    </xf>
    <xf numFmtId="0" fontId="2" fillId="9" borderId="0" xfId="0" applyFont="1" applyFill="1" applyBorder="1" applyAlignment="1">
      <alignment vertical="center" wrapText="1"/>
    </xf>
    <xf numFmtId="0" fontId="2" fillId="9" borderId="0" xfId="0" applyFont="1" applyFill="1" applyBorder="1" applyAlignment="1">
      <alignment horizontal="center" vertical="center" wrapText="1"/>
    </xf>
    <xf numFmtId="167" fontId="11" fillId="9" borderId="0" xfId="1" applyNumberFormat="1" applyFont="1" applyFill="1" applyBorder="1" applyAlignment="1">
      <alignment vertical="center" wrapText="1"/>
    </xf>
    <xf numFmtId="0" fontId="11" fillId="9" borderId="0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 wrapText="1"/>
    </xf>
    <xf numFmtId="4" fontId="7" fillId="0" borderId="0" xfId="0" applyNumberFormat="1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Fill="1" applyBorder="1" applyAlignment="1">
      <alignment vertical="top" wrapText="1"/>
    </xf>
    <xf numFmtId="3" fontId="4" fillId="0" borderId="0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6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4"/>
  <sheetViews>
    <sheetView showGridLines="0" workbookViewId="0">
      <pane ySplit="5" topLeftCell="A6" activePane="bottomLeft" state="frozen"/>
      <selection pane="bottomLeft" activeCell="H7" sqref="H7"/>
    </sheetView>
  </sheetViews>
  <sheetFormatPr defaultRowHeight="15" x14ac:dyDescent="0.25"/>
  <cols>
    <col min="1" max="1" width="22" customWidth="1"/>
    <col min="2" max="2" width="45.140625" bestFit="1" customWidth="1"/>
    <col min="3" max="3" width="14" customWidth="1"/>
    <col min="4" max="4" width="24.5703125" customWidth="1"/>
    <col min="5" max="5" width="49.85546875" bestFit="1" customWidth="1"/>
    <col min="6" max="6" width="18" customWidth="1"/>
    <col min="7" max="7" width="16" customWidth="1"/>
    <col min="8" max="8" width="29" customWidth="1"/>
    <col min="9" max="9" width="15.7109375" customWidth="1"/>
    <col min="10" max="10" width="18" customWidth="1"/>
  </cols>
  <sheetData>
    <row r="1" spans="1:10" ht="24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4" customHeight="1" x14ac:dyDescent="0.25">
      <c r="A2" s="22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4" customHeight="1" x14ac:dyDescent="0.25"/>
    <row r="4" spans="1:10" ht="24" customHeight="1" x14ac:dyDescent="0.25">
      <c r="A4" s="21" t="s">
        <v>2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ht="24" customHeight="1" x14ac:dyDescent="0.25">
      <c r="A5" s="1" t="s">
        <v>3</v>
      </c>
      <c r="B5" s="1" t="s">
        <v>4</v>
      </c>
      <c r="C5" s="1" t="s">
        <v>5</v>
      </c>
      <c r="D5" s="1" t="s">
        <v>94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 spans="1:10" ht="24" customHeight="1" x14ac:dyDescent="0.25">
      <c r="A6" s="2" t="s">
        <v>12</v>
      </c>
      <c r="B6" s="2" t="s">
        <v>13</v>
      </c>
      <c r="C6" s="3">
        <v>1</v>
      </c>
      <c r="D6" s="3">
        <v>999999</v>
      </c>
      <c r="E6" s="4">
        <f>IF(C6=0,0,IF(C6&gt;=1,2.5,IF(C6&lt;=3,20,IF(C6&lt;=5,50,90))))</f>
        <v>2.5</v>
      </c>
      <c r="F6" s="4">
        <f>IF(D6&lt;Параметры_исх!$B$4,0,IF(D6&lt;Параметры_исх!$B$6,30,IF(D6&lt;Параметры_исх!$B$7,70,120)))</f>
        <v>0</v>
      </c>
      <c r="G6" s="4">
        <f t="shared" ref="G6:G17" si="0">MAX(E6,F6)</f>
        <v>2.5</v>
      </c>
      <c r="H6" s="5">
        <f>VLOOKUP(A6,Параметры_исх!$A$18:$B$21,2,FALSE)</f>
        <v>1</v>
      </c>
      <c r="I6" s="5">
        <f>VLOOKUP(B6,Параметры_исх!$D$18:$E$20,2,FALSE)</f>
        <v>2</v>
      </c>
      <c r="J6" s="4">
        <f>G6*H6*I6</f>
        <v>5</v>
      </c>
    </row>
    <row r="7" spans="1:10" ht="24" customHeight="1" x14ac:dyDescent="0.25">
      <c r="A7" s="2" t="s">
        <v>12</v>
      </c>
      <c r="B7" s="2" t="s">
        <v>14</v>
      </c>
      <c r="C7" s="3">
        <v>0</v>
      </c>
      <c r="D7" s="3">
        <v>0</v>
      </c>
      <c r="E7" s="4">
        <f t="shared" ref="E7:E17" si="1">IF(C7=0,0,IF(C7&gt;=1,2.5,IF(C7&lt;=3,20,IF(C7&lt;=5,50,90))))</f>
        <v>0</v>
      </c>
      <c r="F7" s="4">
        <f>IF(D7&lt;Параметры_исх!$B$4,0,IF(D7&lt;Параметры_исх!$B$6,30,IF(D7&lt;Параметры_исх!$B$7,70,120)))</f>
        <v>0</v>
      </c>
      <c r="G7" s="4">
        <f t="shared" si="0"/>
        <v>0</v>
      </c>
      <c r="H7" s="5">
        <f>VLOOKUP(A7,Параметры_исх!$A$18:$B$21,2,FALSE)</f>
        <v>1</v>
      </c>
      <c r="I7" s="5">
        <f>VLOOKUP(B7,Параметры_исх!$D$18:$E$20,2,FALSE)</f>
        <v>1.5</v>
      </c>
      <c r="J7" s="4">
        <f t="shared" ref="J6:J17" si="2">G7*H7*I7</f>
        <v>0</v>
      </c>
    </row>
    <row r="8" spans="1:10" ht="24" customHeight="1" x14ac:dyDescent="0.25">
      <c r="A8" s="2" t="s">
        <v>12</v>
      </c>
      <c r="B8" s="2" t="s">
        <v>15</v>
      </c>
      <c r="C8" s="3">
        <v>0</v>
      </c>
      <c r="D8" s="3">
        <v>0</v>
      </c>
      <c r="E8" s="4">
        <f t="shared" si="1"/>
        <v>0</v>
      </c>
      <c r="F8" s="4">
        <f>IF(D8&lt;Параметры_исх!$B$4,0,IF(D8&lt;Параметры_исх!$B$6,30,IF(D8&lt;Параметры_исх!$B$7,70,120)))</f>
        <v>0</v>
      </c>
      <c r="G8" s="4">
        <f t="shared" si="0"/>
        <v>0</v>
      </c>
      <c r="H8" s="5">
        <f>VLOOKUP(A8,Параметры_исх!$A$18:$B$21,2,FALSE)</f>
        <v>1</v>
      </c>
      <c r="I8" s="5">
        <f>VLOOKUP(B8,Параметры_исх!$D$18:$E$20,2,FALSE)</f>
        <v>1</v>
      </c>
      <c r="J8" s="4">
        <f t="shared" si="2"/>
        <v>0</v>
      </c>
    </row>
    <row r="9" spans="1:10" ht="24" customHeight="1" x14ac:dyDescent="0.25">
      <c r="A9" s="2" t="s">
        <v>16</v>
      </c>
      <c r="B9" s="2" t="s">
        <v>13</v>
      </c>
      <c r="C9" s="3">
        <v>1</v>
      </c>
      <c r="D9" s="3">
        <v>999999</v>
      </c>
      <c r="E9" s="4">
        <f t="shared" si="1"/>
        <v>2.5</v>
      </c>
      <c r="F9" s="4">
        <f>IF(D9&lt;Параметры_исх!$B$4,0,IF(D9&lt;Параметры_исх!$B$6,30,IF(D9&lt;Параметры_исх!$B$7,70,120)))</f>
        <v>0</v>
      </c>
      <c r="G9" s="4">
        <f t="shared" si="0"/>
        <v>2.5</v>
      </c>
      <c r="H9" s="5">
        <f>VLOOKUP(A9,Параметры_исх!$A$18:$B$21,2,FALSE)</f>
        <v>2</v>
      </c>
      <c r="I9" s="5">
        <f>VLOOKUP(B9,Параметры_исх!$D$18:$E$20,2,FALSE)</f>
        <v>2</v>
      </c>
      <c r="J9" s="4">
        <f t="shared" si="2"/>
        <v>10</v>
      </c>
    </row>
    <row r="10" spans="1:10" ht="24" customHeight="1" x14ac:dyDescent="0.25">
      <c r="A10" s="2" t="s">
        <v>16</v>
      </c>
      <c r="B10" s="2" t="s">
        <v>14</v>
      </c>
      <c r="C10" s="3">
        <v>0</v>
      </c>
      <c r="D10" s="3">
        <v>0</v>
      </c>
      <c r="E10" s="4">
        <f t="shared" si="1"/>
        <v>0</v>
      </c>
      <c r="F10" s="4">
        <f>IF(D10&lt;Параметры_исх!$B$4,0,IF(D10&lt;Параметры_исх!$B$6,30,IF(D10&lt;Параметры_исх!$B$7,70,120)))</f>
        <v>0</v>
      </c>
      <c r="G10" s="4">
        <f t="shared" si="0"/>
        <v>0</v>
      </c>
      <c r="H10" s="5">
        <f>VLOOKUP(A10,Параметры_исх!$A$18:$B$21,2,FALSE)</f>
        <v>2</v>
      </c>
      <c r="I10" s="5">
        <f>VLOOKUP(B10,Параметры_исх!$D$18:$E$20,2,FALSE)</f>
        <v>1.5</v>
      </c>
      <c r="J10" s="4">
        <f t="shared" si="2"/>
        <v>0</v>
      </c>
    </row>
    <row r="11" spans="1:10" ht="24" customHeight="1" x14ac:dyDescent="0.25">
      <c r="A11" s="2" t="s">
        <v>16</v>
      </c>
      <c r="B11" s="2" t="s">
        <v>15</v>
      </c>
      <c r="C11" s="3">
        <v>0</v>
      </c>
      <c r="D11" s="3">
        <v>0</v>
      </c>
      <c r="E11" s="4">
        <f t="shared" si="1"/>
        <v>0</v>
      </c>
      <c r="F11" s="4">
        <f>IF(D11&lt;Параметры_исх!$B$4,0,IF(D11&lt;Параметры_исх!$B$6,30,IF(D11&lt;Параметры_исх!$B$7,70,120)))</f>
        <v>0</v>
      </c>
      <c r="G11" s="4">
        <f t="shared" si="0"/>
        <v>0</v>
      </c>
      <c r="H11" s="5">
        <f>VLOOKUP(A11,Параметры_исх!$A$18:$B$21,2,FALSE)</f>
        <v>2</v>
      </c>
      <c r="I11" s="5">
        <f>VLOOKUP(B11,Параметры_исх!$D$18:$E$20,2,FALSE)</f>
        <v>1</v>
      </c>
      <c r="J11" s="4">
        <f t="shared" si="2"/>
        <v>0</v>
      </c>
    </row>
    <row r="12" spans="1:10" ht="24" customHeight="1" x14ac:dyDescent="0.25">
      <c r="A12" s="2" t="s">
        <v>17</v>
      </c>
      <c r="B12" s="2" t="s">
        <v>13</v>
      </c>
      <c r="C12" s="3">
        <v>1</v>
      </c>
      <c r="D12" s="3">
        <v>999999</v>
      </c>
      <c r="E12" s="4">
        <f t="shared" si="1"/>
        <v>2.5</v>
      </c>
      <c r="F12" s="4">
        <f>IF(D12&lt;Параметры_исх!$B$4,0,IF(D12&lt;Параметры_исх!$B$6,30,IF(D12&lt;Параметры_исх!$B$7,70,120)))</f>
        <v>0</v>
      </c>
      <c r="G12" s="4">
        <f t="shared" si="0"/>
        <v>2.5</v>
      </c>
      <c r="H12" s="5">
        <f>VLOOKUP(A12,Параметры_исх!$A$18:$B$21,2,FALSE)</f>
        <v>3</v>
      </c>
      <c r="I12" s="5">
        <f>VLOOKUP(B12,Параметры_исх!$D$18:$E$20,2,FALSE)</f>
        <v>2</v>
      </c>
      <c r="J12" s="4">
        <f t="shared" si="2"/>
        <v>15</v>
      </c>
    </row>
    <row r="13" spans="1:10" ht="24" customHeight="1" x14ac:dyDescent="0.25">
      <c r="A13" s="2" t="s">
        <v>17</v>
      </c>
      <c r="B13" s="2" t="s">
        <v>14</v>
      </c>
      <c r="C13" s="3">
        <v>0</v>
      </c>
      <c r="D13" s="3">
        <v>0</v>
      </c>
      <c r="E13" s="4">
        <f t="shared" si="1"/>
        <v>0</v>
      </c>
      <c r="F13" s="4">
        <f>IF(D13&lt;Параметры_исх!$B$4,0,IF(D13&lt;Параметры_исх!$B$6,30,IF(D13&lt;Параметры_исх!$B$7,70,120)))</f>
        <v>0</v>
      </c>
      <c r="G13" s="4">
        <f t="shared" si="0"/>
        <v>0</v>
      </c>
      <c r="H13" s="5">
        <f>VLOOKUP(A13,Параметры_исх!$A$18:$B$21,2,FALSE)</f>
        <v>3</v>
      </c>
      <c r="I13" s="5">
        <f>VLOOKUP(B13,Параметры_исх!$D$18:$E$20,2,FALSE)</f>
        <v>1.5</v>
      </c>
      <c r="J13" s="4">
        <f t="shared" si="2"/>
        <v>0</v>
      </c>
    </row>
    <row r="14" spans="1:10" ht="24" customHeight="1" x14ac:dyDescent="0.25">
      <c r="A14" s="2" t="s">
        <v>17</v>
      </c>
      <c r="B14" s="2" t="s">
        <v>15</v>
      </c>
      <c r="C14" s="3">
        <v>0</v>
      </c>
      <c r="D14" s="3">
        <v>0</v>
      </c>
      <c r="E14" s="4">
        <f t="shared" si="1"/>
        <v>0</v>
      </c>
      <c r="F14" s="4">
        <f>IF(D14&lt;Параметры_исх!$B$4,0,IF(D14&lt;Параметры_исх!$B$6,30,IF(D14&lt;Параметры_исх!$B$7,70,120)))</f>
        <v>0</v>
      </c>
      <c r="G14" s="4">
        <f t="shared" si="0"/>
        <v>0</v>
      </c>
      <c r="H14" s="5">
        <f>VLOOKUP(A14,Параметры_исх!$A$18:$B$21,2,FALSE)</f>
        <v>3</v>
      </c>
      <c r="I14" s="5">
        <f>VLOOKUP(B14,Параметры_исх!$D$18:$E$20,2,FALSE)</f>
        <v>1</v>
      </c>
      <c r="J14" s="4">
        <f t="shared" si="2"/>
        <v>0</v>
      </c>
    </row>
    <row r="15" spans="1:10" ht="24" customHeight="1" x14ac:dyDescent="0.25">
      <c r="A15" s="2" t="s">
        <v>18</v>
      </c>
      <c r="B15" s="2" t="s">
        <v>13</v>
      </c>
      <c r="C15" s="3">
        <v>1</v>
      </c>
      <c r="D15" s="3">
        <v>999999</v>
      </c>
      <c r="E15" s="4">
        <f t="shared" si="1"/>
        <v>2.5</v>
      </c>
      <c r="F15" s="4">
        <f>IF(D15&lt;Параметры_исх!$B$4,0,IF(D15&lt;Параметры_исх!$B$6,30,IF(D15&lt;Параметры_исх!$B$7,70,120)))</f>
        <v>0</v>
      </c>
      <c r="G15" s="4">
        <f t="shared" si="0"/>
        <v>2.5</v>
      </c>
      <c r="H15" s="5">
        <f>VLOOKUP(A15,Параметры_исх!$A$18:$B$21,2,FALSE)</f>
        <v>5</v>
      </c>
      <c r="I15" s="5">
        <f>VLOOKUP(B15,Параметры_исх!$D$18:$E$20,2,FALSE)</f>
        <v>2</v>
      </c>
      <c r="J15" s="4">
        <f t="shared" si="2"/>
        <v>25</v>
      </c>
    </row>
    <row r="16" spans="1:10" ht="24" customHeight="1" x14ac:dyDescent="0.25">
      <c r="A16" s="2" t="s">
        <v>18</v>
      </c>
      <c r="B16" s="2" t="s">
        <v>14</v>
      </c>
      <c r="C16" s="3">
        <v>0</v>
      </c>
      <c r="D16" s="3">
        <v>0</v>
      </c>
      <c r="E16" s="4">
        <f t="shared" si="1"/>
        <v>0</v>
      </c>
      <c r="F16" s="4">
        <f>IF(D16&lt;Параметры_исх!$B$4,0,IF(D16&lt;Параметры_исх!$B$6,30,IF(D16&lt;Параметры_исх!$B$7,70,120)))</f>
        <v>0</v>
      </c>
      <c r="G16" s="4">
        <f t="shared" si="0"/>
        <v>0</v>
      </c>
      <c r="H16" s="5">
        <f>VLOOKUP(A16,Параметры_исх!$A$18:$B$21,2,FALSE)</f>
        <v>5</v>
      </c>
      <c r="I16" s="5">
        <f>VLOOKUP(B16,Параметры_исх!$D$18:$E$20,2,FALSE)</f>
        <v>1.5</v>
      </c>
      <c r="J16" s="4">
        <f t="shared" si="2"/>
        <v>0</v>
      </c>
    </row>
    <row r="17" spans="1:10" ht="24" customHeight="1" x14ac:dyDescent="0.25">
      <c r="A17" s="2" t="s">
        <v>18</v>
      </c>
      <c r="B17" s="2" t="s">
        <v>15</v>
      </c>
      <c r="C17" s="3">
        <v>0</v>
      </c>
      <c r="D17" s="3">
        <v>0</v>
      </c>
      <c r="E17" s="4">
        <f t="shared" si="1"/>
        <v>0</v>
      </c>
      <c r="F17" s="4">
        <f>IF(D17&lt;Параметры_исх!$B$4,0,IF(D17&lt;Параметры_исх!$B$6,30,IF(D17&lt;Параметры_исх!$B$7,70,120)))</f>
        <v>0</v>
      </c>
      <c r="G17" s="4">
        <f t="shared" si="0"/>
        <v>0</v>
      </c>
      <c r="H17" s="5">
        <f>VLOOKUP(A17,Параметры_исх!$A$18:$B$21,2,FALSE)</f>
        <v>5</v>
      </c>
      <c r="I17" s="5">
        <f>VLOOKUP(B17,Параметры_исх!$D$18:$E$20,2,FALSE)</f>
        <v>1</v>
      </c>
      <c r="J17" s="4">
        <f t="shared" si="2"/>
        <v>0</v>
      </c>
    </row>
    <row r="18" spans="1:10" ht="24" customHeight="1" x14ac:dyDescent="0.25"/>
    <row r="19" spans="1:10" ht="24" customHeight="1" x14ac:dyDescent="0.25">
      <c r="I19" s="6" t="s">
        <v>19</v>
      </c>
      <c r="J19" s="7">
        <f>SUM(J6:J17)</f>
        <v>55</v>
      </c>
    </row>
    <row r="20" spans="1:10" ht="24" customHeight="1" x14ac:dyDescent="0.25"/>
    <row r="21" spans="1:10" ht="24" customHeight="1" x14ac:dyDescent="0.25">
      <c r="A21" s="21" t="s">
        <v>20</v>
      </c>
      <c r="B21" s="20"/>
      <c r="C21" s="20"/>
      <c r="D21" s="20"/>
      <c r="E21" s="20"/>
      <c r="F21" s="20"/>
      <c r="G21" s="20"/>
      <c r="H21" s="20"/>
      <c r="I21" s="20"/>
      <c r="J21" s="20"/>
    </row>
    <row r="22" spans="1:10" ht="53.25" customHeight="1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</row>
    <row r="23" spans="1:10" ht="47.25" customHeight="1" x14ac:dyDescent="0.25">
      <c r="A23" s="8" t="s">
        <v>26</v>
      </c>
      <c r="B23" s="8" t="s">
        <v>99</v>
      </c>
      <c r="C23" s="9">
        <f>IF(AND(C17&gt;0,C7&gt;0),1,0)</f>
        <v>0</v>
      </c>
      <c r="D23" s="9">
        <f>C23*Параметры_исх!$B$25</f>
        <v>0</v>
      </c>
      <c r="E23" s="8" t="s">
        <v>27</v>
      </c>
    </row>
    <row r="24" spans="1:10" ht="50.25" customHeight="1" x14ac:dyDescent="0.25">
      <c r="A24" s="8" t="s">
        <v>28</v>
      </c>
      <c r="B24" s="8" t="s">
        <v>98</v>
      </c>
      <c r="C24" s="9">
        <f>IF(AND(C17&gt;0,C10&gt;0),1,0)</f>
        <v>0</v>
      </c>
      <c r="D24" s="9">
        <f>C24*Параметры_исх!$B$26</f>
        <v>0</v>
      </c>
      <c r="E24" s="8" t="s">
        <v>29</v>
      </c>
    </row>
    <row r="25" spans="1:10" ht="47.25" customHeight="1" x14ac:dyDescent="0.25">
      <c r="A25" s="8" t="s">
        <v>30</v>
      </c>
      <c r="B25" s="8" t="s">
        <v>97</v>
      </c>
      <c r="C25" s="9">
        <f>IF(C17&gt;=2,1,0)</f>
        <v>0</v>
      </c>
      <c r="D25" s="9">
        <f>C25*Параметры_исх!$B$27</f>
        <v>0</v>
      </c>
      <c r="E25" s="8" t="s">
        <v>31</v>
      </c>
    </row>
    <row r="26" spans="1:10" ht="24" customHeight="1" x14ac:dyDescent="0.25">
      <c r="A26" s="8" t="s">
        <v>32</v>
      </c>
      <c r="B26" s="8" t="s">
        <v>33</v>
      </c>
      <c r="C26" s="9">
        <f>IF(AND(C8&gt;0,C11&gt;0,C14&gt;0,C17&gt;0),1,0)</f>
        <v>0</v>
      </c>
      <c r="D26" s="9">
        <f>C26*Параметры_исх!$B$28</f>
        <v>0</v>
      </c>
      <c r="E26" s="8" t="s">
        <v>34</v>
      </c>
    </row>
    <row r="27" spans="1:10" ht="24" customHeight="1" x14ac:dyDescent="0.25">
      <c r="A27" s="8" t="s">
        <v>35</v>
      </c>
      <c r="B27" s="8" t="s">
        <v>36</v>
      </c>
      <c r="C27" s="9">
        <f>IF(SUM(C7,C10,C13,C16)&gt;7,1,0)</f>
        <v>0</v>
      </c>
      <c r="D27" s="9">
        <f>C27*Параметры_исх!$B$29</f>
        <v>0</v>
      </c>
      <c r="E27" s="8" t="s">
        <v>37</v>
      </c>
    </row>
    <row r="28" spans="1:10" ht="24" customHeight="1" x14ac:dyDescent="0.25"/>
    <row r="29" spans="1:10" ht="24" customHeight="1" x14ac:dyDescent="0.25">
      <c r="C29" s="6" t="s">
        <v>38</v>
      </c>
      <c r="D29" s="10">
        <f>SUM(D23:D27)</f>
        <v>0</v>
      </c>
    </row>
    <row r="30" spans="1:10" ht="24" customHeight="1" x14ac:dyDescent="0.25"/>
    <row r="31" spans="1:10" ht="24" customHeight="1" x14ac:dyDescent="0.25">
      <c r="A31" s="21" t="s">
        <v>39</v>
      </c>
      <c r="B31" s="21"/>
      <c r="C31" s="21"/>
      <c r="D31" s="21"/>
      <c r="E31" s="21"/>
      <c r="F31" s="21"/>
      <c r="G31" s="21"/>
      <c r="H31" s="21"/>
      <c r="I31" s="21"/>
      <c r="J31" s="21"/>
    </row>
    <row r="32" spans="1:10" ht="24" customHeight="1" thickBot="1" x14ac:dyDescent="0.3">
      <c r="A32" s="1" t="s">
        <v>40</v>
      </c>
      <c r="B32" s="1" t="s">
        <v>41</v>
      </c>
      <c r="C32" s="1" t="s">
        <v>25</v>
      </c>
    </row>
    <row r="33" spans="1:10" ht="24" customHeight="1" x14ac:dyDescent="0.25">
      <c r="A33" s="8" t="s">
        <v>42</v>
      </c>
      <c r="B33" s="11" t="s">
        <v>43</v>
      </c>
      <c r="C33" s="8" t="s">
        <v>44</v>
      </c>
    </row>
    <row r="34" spans="1:10" ht="24" customHeight="1" x14ac:dyDescent="0.25">
      <c r="A34" s="8" t="s">
        <v>45</v>
      </c>
      <c r="B34" s="11" t="s">
        <v>43</v>
      </c>
      <c r="C34" s="8" t="s">
        <v>46</v>
      </c>
    </row>
    <row r="35" spans="1:10" ht="24" customHeight="1" x14ac:dyDescent="0.25">
      <c r="A35" s="8" t="s">
        <v>47</v>
      </c>
      <c r="B35" s="11" t="s">
        <v>43</v>
      </c>
      <c r="C35" s="8" t="s">
        <v>48</v>
      </c>
    </row>
    <row r="36" spans="1:10" ht="24" customHeight="1" x14ac:dyDescent="0.25"/>
    <row r="37" spans="1:10" ht="24" customHeight="1" x14ac:dyDescent="0.25">
      <c r="A37" s="6" t="s">
        <v>49</v>
      </c>
      <c r="B37" s="12">
        <f>COUNTIF(B33:B35,"Да")</f>
        <v>0</v>
      </c>
    </row>
    <row r="38" spans="1:10" ht="24" customHeight="1" x14ac:dyDescent="0.25"/>
    <row r="39" spans="1:10" ht="24" customHeight="1" x14ac:dyDescent="0.25">
      <c r="A39" s="21" t="s">
        <v>50</v>
      </c>
      <c r="B39" s="20"/>
      <c r="C39" s="20"/>
      <c r="D39" s="20"/>
      <c r="E39" s="20"/>
      <c r="F39" s="20"/>
      <c r="G39" s="20"/>
      <c r="H39" s="20"/>
      <c r="I39" s="20"/>
      <c r="J39" s="20"/>
    </row>
    <row r="40" spans="1:10" ht="24" customHeight="1" x14ac:dyDescent="0.25">
      <c r="A40" s="13" t="s">
        <v>51</v>
      </c>
      <c r="B40" s="7">
        <f>J19</f>
        <v>55</v>
      </c>
    </row>
    <row r="41" spans="1:10" ht="24" customHeight="1" x14ac:dyDescent="0.25">
      <c r="A41" s="13" t="s">
        <v>52</v>
      </c>
      <c r="B41" s="7">
        <f>D29</f>
        <v>0</v>
      </c>
    </row>
    <row r="42" spans="1:10" ht="24" customHeight="1" x14ac:dyDescent="0.25">
      <c r="A42" s="13" t="s">
        <v>53</v>
      </c>
      <c r="B42" s="7">
        <f>B40+B41</f>
        <v>55</v>
      </c>
    </row>
    <row r="43" spans="1:10" ht="24" customHeight="1" x14ac:dyDescent="0.25">
      <c r="A43" s="13" t="s">
        <v>54</v>
      </c>
      <c r="B43" s="14" t="str">
        <f>IF(B37&gt;0,"ОТКАЗ (hard rule)",IF(B42&lt;80,"Стандартная заявка",IF(B42&lt;150,"Дополнительная проверка",IF(B42&lt;250,"Anti-Fraud Review","Отказ"))))</f>
        <v>Стандартная заявка</v>
      </c>
    </row>
    <row r="44" spans="1:10" ht="24" customHeight="1" x14ac:dyDescent="0.25">
      <c r="A44" s="13" t="s">
        <v>55</v>
      </c>
      <c r="B44" s="14" t="str">
        <f>IF(B37&gt;0,"Сработало hard rule",IF(B42&lt;80,"Низкий поведенческий риск",IF(B42&lt;150,"Средний риск: нужна доп. проверка",IF(B42&lt;250,"Высокий риск: ручная проверка antifraud","Критический риск: рекомендован отказ"))))</f>
        <v>Низкий поведенческий риск</v>
      </c>
    </row>
  </sheetData>
  <mergeCells count="6">
    <mergeCell ref="A1:J1"/>
    <mergeCell ref="A31:J31"/>
    <mergeCell ref="A21:J21"/>
    <mergeCell ref="A39:J39"/>
    <mergeCell ref="A4:J4"/>
    <mergeCell ref="A2:J2"/>
  </mergeCells>
  <conditionalFormatting sqref="B43">
    <cfRule type="expression" dxfId="5" priority="1">
      <formula>ISNUMBER(SEARCH("Отказ",B43))</formula>
    </cfRule>
    <cfRule type="expression" dxfId="4" priority="2">
      <formula>ISNUMBER(SEARCH("Дополнительная",B43))</formula>
    </cfRule>
    <cfRule type="expression" dxfId="3" priority="3">
      <formula>ISNUMBER(SEARCH("Стандартная",B43))</formula>
    </cfRule>
  </conditionalFormatting>
  <dataValidations count="1">
    <dataValidation type="list" sqref="B33:B35">
      <formula1>"Да,Нет"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"/>
  <sheetViews>
    <sheetView showGridLines="0" tabSelected="1" zoomScale="85" zoomScaleNormal="85" workbookViewId="0">
      <pane ySplit="5" topLeftCell="A6" activePane="bottomLeft" state="frozen"/>
      <selection pane="bottomLeft" activeCell="E9" sqref="E9"/>
    </sheetView>
  </sheetViews>
  <sheetFormatPr defaultRowHeight="15" x14ac:dyDescent="0.25"/>
  <cols>
    <col min="1" max="1" width="22" customWidth="1"/>
    <col min="2" max="2" width="45.140625" bestFit="1" customWidth="1"/>
    <col min="3" max="3" width="14" customWidth="1"/>
    <col min="4" max="4" width="30.28515625" customWidth="1"/>
    <col min="5" max="5" width="30.5703125" customWidth="1"/>
    <col min="6" max="6" width="19.5703125" bestFit="1" customWidth="1"/>
    <col min="7" max="7" width="18" customWidth="1"/>
    <col min="8" max="8" width="30" customWidth="1"/>
    <col min="9" max="9" width="29" customWidth="1"/>
    <col min="10" max="10" width="15.7109375" customWidth="1"/>
    <col min="11" max="11" width="18" customWidth="1"/>
  </cols>
  <sheetData>
    <row r="1" spans="1:11" ht="24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4" customHeight="1" x14ac:dyDescent="0.25">
      <c r="A2" s="22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4" customHeight="1" x14ac:dyDescent="0.25"/>
    <row r="4" spans="1:11" ht="24" customHeight="1" x14ac:dyDescent="0.25">
      <c r="A4" s="21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ht="24" customHeight="1" thickBot="1" x14ac:dyDescent="0.3">
      <c r="A5" s="1" t="s">
        <v>3</v>
      </c>
      <c r="B5" s="1" t="s">
        <v>4</v>
      </c>
      <c r="C5" s="1" t="s">
        <v>5</v>
      </c>
      <c r="D5" s="30" t="s">
        <v>111</v>
      </c>
      <c r="E5" s="30" t="s">
        <v>107</v>
      </c>
      <c r="F5" s="1" t="s">
        <v>6</v>
      </c>
      <c r="G5" s="1" t="s">
        <v>7</v>
      </c>
      <c r="H5" s="30" t="s">
        <v>109</v>
      </c>
      <c r="I5" s="1" t="s">
        <v>9</v>
      </c>
      <c r="J5" s="1" t="s">
        <v>10</v>
      </c>
      <c r="K5" s="1" t="s">
        <v>11</v>
      </c>
    </row>
    <row r="6" spans="1:11" ht="24" customHeight="1" x14ac:dyDescent="0.25">
      <c r="A6" s="2" t="s">
        <v>12</v>
      </c>
      <c r="B6" s="2" t="s">
        <v>14</v>
      </c>
      <c r="C6" s="3">
        <v>0</v>
      </c>
      <c r="D6" s="3">
        <v>0</v>
      </c>
      <c r="E6" s="31">
        <f>IFERROR(D6/C6,0)</f>
        <v>0</v>
      </c>
      <c r="F6" s="4">
        <f>IF(C6&lt;=Параметры!$B$13,Параметры!$C$13,IF(C6&lt;=Параметры!$B$14,Параметры!$C$14,IF(C6&lt;=Параметры!$B$15,Параметры!$C$15,IF(C6&lt;=Параметры!$B$16,Параметры!$C$16,90))))</f>
        <v>0</v>
      </c>
      <c r="G6" s="4">
        <f>IF(D6&lt;Параметры!$B$4, 0, IF(D6&lt;Параметры!$B$5, 10, IF(D6&lt;Параметры!$B$6, Параметры!$C$5, IF(D6&lt;Параметры!$B$7, 30, IF(D6&lt;Параметры!$B$8, 70, 120)))))</f>
        <v>0</v>
      </c>
      <c r="H6" s="4">
        <f>MAX(F6,G6)</f>
        <v>0</v>
      </c>
      <c r="I6" s="25">
        <f>VLOOKUP(A6,Параметры!$A$21:$C$24,2,FALSE)</f>
        <v>1</v>
      </c>
      <c r="J6" s="25">
        <f>VLOOKUP(B6,Параметры!$E$21:$F$23,2,FALSE)</f>
        <v>2</v>
      </c>
      <c r="K6" s="4">
        <f>H6*I6*J6</f>
        <v>0</v>
      </c>
    </row>
    <row r="7" spans="1:11" ht="24" customHeight="1" x14ac:dyDescent="0.25">
      <c r="A7" s="2" t="s">
        <v>12</v>
      </c>
      <c r="B7" s="2" t="s">
        <v>121</v>
      </c>
      <c r="C7" s="3">
        <v>0</v>
      </c>
      <c r="D7" s="3">
        <v>0</v>
      </c>
      <c r="E7" s="31">
        <f t="shared" ref="E7:E17" si="0">IFERROR(D7/C7,0)</f>
        <v>0</v>
      </c>
      <c r="F7" s="4">
        <f>IF(C7&lt;=Параметры!$B$13,Параметры!$C$13,IF(C7&lt;=Параметры!$B$14,Параметры!$C$14,IF(C7&lt;=Параметры!$B$15,Параметры!$C$15,IF(C7&lt;=Параметры!$B$16,Параметры!$C$16,90))))</f>
        <v>0</v>
      </c>
      <c r="G7" s="4">
        <f>IF(D7&lt;Параметры!$B$4, 0, IF(D7&lt;Параметры!$B$5, 10, IF(D7&lt;Параметры!$B$6, Параметры!$C$5, IF(D7&lt;Параметры!$B$7, 30, IF(D7&lt;Параметры!$B$8, 70, 120)))))</f>
        <v>0</v>
      </c>
      <c r="H7" s="4">
        <f t="shared" ref="H7:H17" si="1">MAX(F7,G7)</f>
        <v>0</v>
      </c>
      <c r="I7" s="25">
        <f>VLOOKUP(A7,Параметры!$A$21:$C$24,2,FALSE)</f>
        <v>1</v>
      </c>
      <c r="J7" s="25">
        <f>VLOOKUP(B7,Параметры!$E$21:$F$23,2,FALSE)</f>
        <v>1.5</v>
      </c>
      <c r="K7" s="4">
        <f t="shared" ref="K7:K17" si="2">H7*I7*J7</f>
        <v>0</v>
      </c>
    </row>
    <row r="8" spans="1:11" ht="24" customHeight="1" x14ac:dyDescent="0.25">
      <c r="A8" s="2" t="s">
        <v>12</v>
      </c>
      <c r="B8" s="2" t="s">
        <v>15</v>
      </c>
      <c r="C8" s="3">
        <v>0</v>
      </c>
      <c r="D8" s="3">
        <v>0</v>
      </c>
      <c r="E8" s="31">
        <f t="shared" si="0"/>
        <v>0</v>
      </c>
      <c r="F8" s="4">
        <f>IF(C8&lt;=Параметры!$B$13,Параметры!$C$13,IF(C8&lt;=Параметры!$B$14,Параметры!$C$14,IF(C8&lt;=Параметры!$B$15,Параметры!$C$15,IF(C8&lt;=Параметры!$B$16,Параметры!$C$16,90))))</f>
        <v>0</v>
      </c>
      <c r="G8" s="4">
        <f>IF(D8&lt;Параметры!$B$4, 0, IF(D8&lt;Параметры!$B$5, 10, IF(D8&lt;Параметры!$B$6, Параметры!$C$5, IF(D8&lt;Параметры!$B$7, 30, IF(D8&lt;Параметры!$B$8, 70, 120)))))</f>
        <v>0</v>
      </c>
      <c r="H8" s="4">
        <f t="shared" si="1"/>
        <v>0</v>
      </c>
      <c r="I8" s="25">
        <f>VLOOKUP(A8,Параметры!$A$21:$C$24,2,FALSE)</f>
        <v>1</v>
      </c>
      <c r="J8" s="25">
        <f>VLOOKUP(B8,Параметры!$E$21:$F$23,2,FALSE)</f>
        <v>1</v>
      </c>
      <c r="K8" s="4">
        <f t="shared" si="2"/>
        <v>0</v>
      </c>
    </row>
    <row r="9" spans="1:11" ht="24" customHeight="1" x14ac:dyDescent="0.25">
      <c r="A9" s="2" t="s">
        <v>16</v>
      </c>
      <c r="B9" s="2" t="s">
        <v>14</v>
      </c>
      <c r="C9" s="3">
        <v>0</v>
      </c>
      <c r="D9" s="3">
        <v>0</v>
      </c>
      <c r="E9" s="31">
        <f t="shared" si="0"/>
        <v>0</v>
      </c>
      <c r="F9" s="4">
        <f>IF(C9&lt;=Параметры!$B$13,Параметры!$C$13,IF(C9&lt;=Параметры!$B$14,Параметры!$C$14,IF(C9&lt;=Параметры!$B$15,Параметры!$C$15,IF(C9&lt;=Параметры!$B$16,Параметры!$C$16,90))))</f>
        <v>0</v>
      </c>
      <c r="G9" s="4">
        <f>IF(D9&lt;Параметры!$B$4, 0, IF(D9&lt;Параметры!$B$5, 10, IF(D9&lt;Параметры!$B$6, Параметры!$C$5, IF(D9&lt;Параметры!$B$7, 30, IF(D9&lt;Параметры!$B$8, 70, 120)))))</f>
        <v>0</v>
      </c>
      <c r="H9" s="4">
        <f t="shared" si="1"/>
        <v>0</v>
      </c>
      <c r="I9" s="25">
        <f>VLOOKUP(A9,Параметры!$A$21:$C$24,2,FALSE)</f>
        <v>1.5</v>
      </c>
      <c r="J9" s="25">
        <f>VLOOKUP(B9,Параметры!$E$21:$F$23,2,FALSE)</f>
        <v>2</v>
      </c>
      <c r="K9" s="4">
        <f t="shared" si="2"/>
        <v>0</v>
      </c>
    </row>
    <row r="10" spans="1:11" ht="24" customHeight="1" x14ac:dyDescent="0.25">
      <c r="A10" s="2" t="s">
        <v>16</v>
      </c>
      <c r="B10" s="2" t="s">
        <v>121</v>
      </c>
      <c r="C10" s="3">
        <v>0</v>
      </c>
      <c r="D10" s="3">
        <v>0</v>
      </c>
      <c r="E10" s="31">
        <f t="shared" si="0"/>
        <v>0</v>
      </c>
      <c r="F10" s="4">
        <f>IF(C10&lt;=Параметры!$B$13,Параметры!$C$13,IF(C10&lt;=Параметры!$B$14,Параметры!$C$14,IF(C10&lt;=Параметры!$B$15,Параметры!$C$15,IF(C10&lt;=Параметры!$B$16,Параметры!$C$16,90))))</f>
        <v>0</v>
      </c>
      <c r="G10" s="4">
        <f>IF(D10&lt;Параметры!$B$4, 0, IF(D10&lt;Параметры!$B$5, 10, IF(D10&lt;Параметры!$B$6, Параметры!$C$5, IF(D10&lt;Параметры!$B$7, 30, IF(D10&lt;Параметры!$B$8, 70, 120)))))</f>
        <v>0</v>
      </c>
      <c r="H10" s="4">
        <f t="shared" si="1"/>
        <v>0</v>
      </c>
      <c r="I10" s="25">
        <f>VLOOKUP(A10,Параметры!$A$21:$C$24,2,FALSE)</f>
        <v>1.5</v>
      </c>
      <c r="J10" s="25">
        <f>VLOOKUP(B10,Параметры!$E$21:$F$23,2,FALSE)</f>
        <v>1.5</v>
      </c>
      <c r="K10" s="4">
        <f t="shared" si="2"/>
        <v>0</v>
      </c>
    </row>
    <row r="11" spans="1:11" ht="24" customHeight="1" x14ac:dyDescent="0.25">
      <c r="A11" s="2" t="s">
        <v>16</v>
      </c>
      <c r="B11" s="2" t="s">
        <v>15</v>
      </c>
      <c r="C11" s="3">
        <v>0</v>
      </c>
      <c r="D11" s="3">
        <v>0</v>
      </c>
      <c r="E11" s="31">
        <f t="shared" si="0"/>
        <v>0</v>
      </c>
      <c r="F11" s="4">
        <f>IF(C11&lt;=Параметры!$B$13,Параметры!$C$13,IF(C11&lt;=Параметры!$B$14,Параметры!$C$14,IF(C11&lt;=Параметры!$B$15,Параметры!$C$15,IF(C11&lt;=Параметры!$B$16,Параметры!$C$16,90))))</f>
        <v>0</v>
      </c>
      <c r="G11" s="4">
        <f>IF(D11&lt;Параметры!$B$4, 0, IF(D11&lt;Параметры!$B$5, 10, IF(D11&lt;Параметры!$B$6, Параметры!$C$5, IF(D11&lt;Параметры!$B$7, 30, IF(D11&lt;Параметры!$B$8, 70, 120)))))</f>
        <v>0</v>
      </c>
      <c r="H11" s="4">
        <f t="shared" si="1"/>
        <v>0</v>
      </c>
      <c r="I11" s="25">
        <f>VLOOKUP(A11,Параметры!$A$21:$C$24,2,FALSE)</f>
        <v>1.5</v>
      </c>
      <c r="J11" s="25">
        <f>VLOOKUP(B11,Параметры!$E$21:$F$23,2,FALSE)</f>
        <v>1</v>
      </c>
      <c r="K11" s="4">
        <f t="shared" si="2"/>
        <v>0</v>
      </c>
    </row>
    <row r="12" spans="1:11" ht="24" customHeight="1" x14ac:dyDescent="0.25">
      <c r="A12" s="2" t="s">
        <v>17</v>
      </c>
      <c r="B12" s="2" t="s">
        <v>14</v>
      </c>
      <c r="C12" s="3">
        <v>0</v>
      </c>
      <c r="D12" s="3">
        <v>0</v>
      </c>
      <c r="E12" s="31">
        <f t="shared" si="0"/>
        <v>0</v>
      </c>
      <c r="F12" s="4">
        <f>IF(C12&lt;=Параметры!$B$13,Параметры!$C$13,IF(C12&lt;=Параметры!$B$14,Параметры!$C$14,IF(C12&lt;=Параметры!$B$15,Параметры!$C$15,IF(C12&lt;=Параметры!$B$16,Параметры!$C$16,90))))</f>
        <v>0</v>
      </c>
      <c r="G12" s="4">
        <f>IF(D12&lt;Параметры!$B$4, 0, IF(D12&lt;Параметры!$B$5, 10, IF(D12&lt;Параметры!$B$6, Параметры!$C$5, IF(D12&lt;Параметры!$B$7, 30, IF(D12&lt;Параметры!$B$8, 70, 120)))))</f>
        <v>0</v>
      </c>
      <c r="H12" s="4">
        <f t="shared" si="1"/>
        <v>0</v>
      </c>
      <c r="I12" s="25">
        <f>VLOOKUP(A12,Параметры!$A$21:$C$24,2,FALSE)</f>
        <v>1.75</v>
      </c>
      <c r="J12" s="25">
        <f>VLOOKUP(B12,Параметры!$E$21:$F$23,2,FALSE)</f>
        <v>2</v>
      </c>
      <c r="K12" s="4">
        <f t="shared" si="2"/>
        <v>0</v>
      </c>
    </row>
    <row r="13" spans="1:11" ht="24" customHeight="1" x14ac:dyDescent="0.25">
      <c r="A13" s="2" t="s">
        <v>17</v>
      </c>
      <c r="B13" s="2" t="s">
        <v>121</v>
      </c>
      <c r="C13" s="3">
        <v>0</v>
      </c>
      <c r="D13" s="3">
        <v>0</v>
      </c>
      <c r="E13" s="31">
        <f t="shared" si="0"/>
        <v>0</v>
      </c>
      <c r="F13" s="4">
        <f>IF(C13&lt;=Параметры!$B$13,Параметры!$C$13,IF(C13&lt;=Параметры!$B$14,Параметры!$C$14,IF(C13&lt;=Параметры!$B$15,Параметры!$C$15,IF(C13&lt;=Параметры!$B$16,Параметры!$C$16,90))))</f>
        <v>0</v>
      </c>
      <c r="G13" s="4">
        <f>IF(D13&lt;Параметры!$B$4, 0, IF(D13&lt;Параметры!$B$5, 10, IF(D13&lt;Параметры!$B$6, Параметры!$C$5, IF(D13&lt;Параметры!$B$7, 30, IF(D13&lt;Параметры!$B$8, 70, 120)))))</f>
        <v>0</v>
      </c>
      <c r="H13" s="4">
        <f t="shared" si="1"/>
        <v>0</v>
      </c>
      <c r="I13" s="25">
        <f>VLOOKUP(A13,Параметры!$A$21:$C$24,2,FALSE)</f>
        <v>1.75</v>
      </c>
      <c r="J13" s="25">
        <f>VLOOKUP(B13,Параметры!$E$21:$F$23,2,FALSE)</f>
        <v>1.5</v>
      </c>
      <c r="K13" s="4">
        <f t="shared" si="2"/>
        <v>0</v>
      </c>
    </row>
    <row r="14" spans="1:11" ht="24" customHeight="1" x14ac:dyDescent="0.25">
      <c r="A14" s="2" t="s">
        <v>17</v>
      </c>
      <c r="B14" s="2" t="s">
        <v>15</v>
      </c>
      <c r="C14" s="3">
        <v>0</v>
      </c>
      <c r="D14" s="3">
        <v>0</v>
      </c>
      <c r="E14" s="31">
        <f t="shared" si="0"/>
        <v>0</v>
      </c>
      <c r="F14" s="4">
        <f>IF(C14&lt;=Параметры!$B$13,Параметры!$C$13,IF(C14&lt;=Параметры!$B$14,Параметры!$C$14,IF(C14&lt;=Параметры!$B$15,Параметры!$C$15,IF(C14&lt;=Параметры!$B$16,Параметры!$C$16,90))))</f>
        <v>0</v>
      </c>
      <c r="G14" s="4">
        <f>IF(D14&lt;Параметры!$B$4, 0, IF(D14&lt;Параметры!$B$5, 10, IF(D14&lt;Параметры!$B$6, Параметры!$C$5, IF(D14&lt;Параметры!$B$7, 30, IF(D14&lt;Параметры!$B$8, 70, 120)))))</f>
        <v>0</v>
      </c>
      <c r="H14" s="4">
        <f t="shared" si="1"/>
        <v>0</v>
      </c>
      <c r="I14" s="25">
        <f>VLOOKUP(A14,Параметры!$A$21:$C$24,2,FALSE)</f>
        <v>1.75</v>
      </c>
      <c r="J14" s="25">
        <f>VLOOKUP(B14,Параметры!$E$21:$F$23,2,FALSE)</f>
        <v>1</v>
      </c>
      <c r="K14" s="4">
        <f t="shared" si="2"/>
        <v>0</v>
      </c>
    </row>
    <row r="15" spans="1:11" ht="24" customHeight="1" x14ac:dyDescent="0.25">
      <c r="A15" s="2" t="s">
        <v>18</v>
      </c>
      <c r="B15" s="2" t="s">
        <v>14</v>
      </c>
      <c r="C15" s="3">
        <v>0</v>
      </c>
      <c r="D15" s="3">
        <v>0</v>
      </c>
      <c r="E15" s="31">
        <f t="shared" si="0"/>
        <v>0</v>
      </c>
      <c r="F15" s="4">
        <f>IF(C15&lt;=Параметры!$B$13,Параметры!$C$13,IF(C15&lt;=Параметры!$B$14,Параметры!$C$14,IF(C15&lt;=Параметры!$B$15,Параметры!$C$15,IF(C15&lt;=Параметры!$B$16,Параметры!$C$16,90))))</f>
        <v>0</v>
      </c>
      <c r="G15" s="4">
        <f>IF(D15&lt;Параметры!$B$4, 0, IF(D15&lt;Параметры!$B$5, 10, IF(D15&lt;Параметры!$B$6, Параметры!$C$5, IF(D15&lt;Параметры!$B$7, 30, IF(D15&lt;Параметры!$B$8, 70, 120)))))</f>
        <v>0</v>
      </c>
      <c r="H15" s="4">
        <f t="shared" si="1"/>
        <v>0</v>
      </c>
      <c r="I15" s="25">
        <f>VLOOKUP(A15,Параметры!$A$21:$C$24,2,FALSE)</f>
        <v>2</v>
      </c>
      <c r="J15" s="25">
        <f>VLOOKUP(B15,Параметры!$E$21:$F$23,2,FALSE)</f>
        <v>2</v>
      </c>
      <c r="K15" s="4">
        <f t="shared" si="2"/>
        <v>0</v>
      </c>
    </row>
    <row r="16" spans="1:11" ht="24" customHeight="1" x14ac:dyDescent="0.25">
      <c r="A16" s="2" t="s">
        <v>18</v>
      </c>
      <c r="B16" s="2" t="s">
        <v>121</v>
      </c>
      <c r="C16" s="3">
        <v>0</v>
      </c>
      <c r="D16" s="3">
        <v>0</v>
      </c>
      <c r="E16" s="31">
        <f t="shared" si="0"/>
        <v>0</v>
      </c>
      <c r="F16" s="4">
        <f>IF(C16&lt;=Параметры!$B$13,Параметры!$C$13,IF(C16&lt;=Параметры!$B$14,Параметры!$C$14,IF(C16&lt;=Параметры!$B$15,Параметры!$C$15,IF(C16&lt;=Параметры!$B$16,Параметры!$C$16,90))))</f>
        <v>0</v>
      </c>
      <c r="G16" s="4">
        <f>IF(D16&lt;Параметры!$B$4, 0, IF(D16&lt;Параметры!$B$5, 10, IF(D16&lt;Параметры!$B$6, Параметры!$C$5, IF(D16&lt;Параметры!$B$7, 30, IF(D16&lt;Параметры!$B$8, 70, 120)))))</f>
        <v>0</v>
      </c>
      <c r="H16" s="4">
        <f t="shared" si="1"/>
        <v>0</v>
      </c>
      <c r="I16" s="25">
        <f>VLOOKUP(A16,Параметры!$A$21:$C$24,2,FALSE)</f>
        <v>2</v>
      </c>
      <c r="J16" s="25">
        <f>VLOOKUP(B16,Параметры!$E$21:$F$23,2,FALSE)</f>
        <v>1.5</v>
      </c>
      <c r="K16" s="4">
        <f t="shared" si="2"/>
        <v>0</v>
      </c>
    </row>
    <row r="17" spans="1:11" ht="24" customHeight="1" x14ac:dyDescent="0.25">
      <c r="A17" s="2" t="s">
        <v>18</v>
      </c>
      <c r="B17" s="2" t="s">
        <v>15</v>
      </c>
      <c r="C17" s="3">
        <v>0</v>
      </c>
      <c r="D17" s="3">
        <v>0</v>
      </c>
      <c r="E17" s="31">
        <f t="shared" si="0"/>
        <v>0</v>
      </c>
      <c r="F17" s="4">
        <f>IF(C17&lt;=Параметры!$B$13,Параметры!$C$13,IF(C17&lt;=Параметры!$B$14,Параметры!$C$14,IF(C17&lt;=Параметры!$B$15,Параметры!$C$15,IF(C17&lt;=Параметры!$B$16,Параметры!$C$16,90))))</f>
        <v>0</v>
      </c>
      <c r="G17" s="4">
        <f>IF(D17&lt;Параметры!$B$4, 0, IF(D17&lt;Параметры!$B$5, 10, IF(D17&lt;Параметры!$B$6, Параметры!$C$5, IF(D17&lt;Параметры!$B$7, 30, IF(D17&lt;Параметры!$B$8, 70, 120)))))</f>
        <v>0</v>
      </c>
      <c r="H17" s="4">
        <f t="shared" si="1"/>
        <v>0</v>
      </c>
      <c r="I17" s="25">
        <f>VLOOKUP(A17,Параметры!$A$21:$C$24,2,FALSE)</f>
        <v>2</v>
      </c>
      <c r="J17" s="25">
        <f>VLOOKUP(B17,Параметры!$E$21:$F$23,2,FALSE)</f>
        <v>1</v>
      </c>
      <c r="K17" s="4">
        <f t="shared" si="2"/>
        <v>0</v>
      </c>
    </row>
    <row r="18" spans="1:11" ht="24" customHeight="1" x14ac:dyDescent="0.25"/>
    <row r="19" spans="1:11" ht="24" customHeight="1" x14ac:dyDescent="0.25">
      <c r="D19" s="35"/>
      <c r="J19" s="6" t="s">
        <v>19</v>
      </c>
      <c r="K19" s="7">
        <f>SUM(K6:K17)</f>
        <v>0</v>
      </c>
    </row>
    <row r="20" spans="1:11" ht="24" customHeight="1" x14ac:dyDescent="0.25"/>
    <row r="21" spans="1:11" ht="24" customHeight="1" x14ac:dyDescent="0.25">
      <c r="A21" s="21" t="s">
        <v>20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53.25" customHeight="1" thickBot="1" x14ac:dyDescent="0.3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  <c r="F22" s="1"/>
    </row>
    <row r="23" spans="1:11" ht="53.25" customHeight="1" x14ac:dyDescent="0.25">
      <c r="A23" s="8" t="s">
        <v>26</v>
      </c>
      <c r="B23" s="8" t="s">
        <v>119</v>
      </c>
      <c r="C23" s="9">
        <f>IF(AND(C16&gt;2,C6&gt;0),1,0)</f>
        <v>0</v>
      </c>
      <c r="D23" s="9">
        <f>C23*Параметры!$B$28</f>
        <v>0</v>
      </c>
      <c r="E23" s="8" t="s">
        <v>27</v>
      </c>
      <c r="F23" s="8"/>
    </row>
    <row r="24" spans="1:11" ht="53.25" customHeight="1" x14ac:dyDescent="0.25">
      <c r="A24" s="8" t="s">
        <v>28</v>
      </c>
      <c r="B24" s="8" t="s">
        <v>115</v>
      </c>
      <c r="C24" s="9">
        <f>IF(AND(C16&gt;2,C9&gt;0),1,0)</f>
        <v>0</v>
      </c>
      <c r="D24" s="9">
        <f>C24*Параметры!$B$28</f>
        <v>0</v>
      </c>
      <c r="E24" s="8" t="s">
        <v>29</v>
      </c>
      <c r="F24" s="8"/>
    </row>
    <row r="25" spans="1:11" ht="47.25" customHeight="1" x14ac:dyDescent="0.25">
      <c r="A25" s="8" t="s">
        <v>26</v>
      </c>
      <c r="B25" s="8" t="s">
        <v>116</v>
      </c>
      <c r="C25" s="9">
        <f>IF(AND(C17&gt;2,C7&gt;0),1,0)</f>
        <v>0</v>
      </c>
      <c r="D25" s="9">
        <f>C25*Параметры!$B$28</f>
        <v>0</v>
      </c>
      <c r="E25" s="8" t="s">
        <v>27</v>
      </c>
      <c r="F25" s="8"/>
    </row>
    <row r="26" spans="1:11" ht="50.25" customHeight="1" x14ac:dyDescent="0.25">
      <c r="A26" s="8" t="s">
        <v>28</v>
      </c>
      <c r="B26" s="8" t="s">
        <v>120</v>
      </c>
      <c r="C26" s="9">
        <f>IF(AND(C17&gt;0,C10&gt;0),1,0)</f>
        <v>0</v>
      </c>
      <c r="D26" s="9">
        <f>C26*Параметры!$B$28</f>
        <v>0</v>
      </c>
      <c r="E26" s="8" t="s">
        <v>29</v>
      </c>
      <c r="F26" s="8"/>
    </row>
    <row r="27" spans="1:11" ht="47.25" customHeight="1" x14ac:dyDescent="0.25">
      <c r="A27" s="8" t="s">
        <v>30</v>
      </c>
      <c r="B27" s="8" t="s">
        <v>97</v>
      </c>
      <c r="C27" s="9">
        <f>IF(C17&gt;=2,1,0)</f>
        <v>0</v>
      </c>
      <c r="D27" s="9">
        <f>C27*Параметры!$B$28</f>
        <v>0</v>
      </c>
      <c r="E27" s="8" t="s">
        <v>31</v>
      </c>
      <c r="F27" s="8"/>
    </row>
    <row r="28" spans="1:11" ht="24" customHeight="1" x14ac:dyDescent="0.25">
      <c r="A28" s="8" t="s">
        <v>122</v>
      </c>
      <c r="B28" s="8" t="s">
        <v>108</v>
      </c>
      <c r="C28" s="9">
        <f>IF(SUM(C7,C10,C13,C16)&gt;15,1,0)</f>
        <v>0</v>
      </c>
      <c r="D28" s="9">
        <f>C28*Параметры!$B$28</f>
        <v>0</v>
      </c>
      <c r="E28" s="8" t="s">
        <v>37</v>
      </c>
      <c r="F28" s="8"/>
    </row>
    <row r="29" spans="1:11" ht="24" customHeight="1" x14ac:dyDescent="0.25"/>
    <row r="30" spans="1:11" ht="24" customHeight="1" x14ac:dyDescent="0.25">
      <c r="C30" s="6" t="s">
        <v>38</v>
      </c>
      <c r="D30" s="10">
        <f>SUM(D25:D28)</f>
        <v>0</v>
      </c>
      <c r="E30" s="10"/>
    </row>
    <row r="31" spans="1:11" ht="24" customHeight="1" x14ac:dyDescent="0.25"/>
    <row r="32" spans="1:11" ht="24" customHeight="1" x14ac:dyDescent="0.25"/>
    <row r="33" spans="1:11" ht="24" customHeight="1" x14ac:dyDescent="0.25"/>
    <row r="34" spans="1:11" ht="24" customHeight="1" x14ac:dyDescent="0.25">
      <c r="A34" s="21" t="s">
        <v>103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spans="1:11" ht="24" customHeight="1" x14ac:dyDescent="0.25">
      <c r="A35" s="13" t="s">
        <v>51</v>
      </c>
      <c r="B35" s="7">
        <f>K19</f>
        <v>0</v>
      </c>
    </row>
    <row r="36" spans="1:11" ht="24" customHeight="1" x14ac:dyDescent="0.25">
      <c r="A36" s="13" t="s">
        <v>52</v>
      </c>
      <c r="B36" s="7">
        <f>D30</f>
        <v>0</v>
      </c>
    </row>
    <row r="37" spans="1:11" ht="24" customHeight="1" x14ac:dyDescent="0.25">
      <c r="A37" s="13" t="s">
        <v>53</v>
      </c>
      <c r="B37" s="7">
        <f>B35+B36</f>
        <v>0</v>
      </c>
    </row>
    <row r="38" spans="1:11" ht="24" customHeight="1" x14ac:dyDescent="0.25">
      <c r="A38" s="13" t="s">
        <v>54</v>
      </c>
      <c r="B38" s="14" t="str">
        <f>IF(AND(B37&gt;=Параметры!A39, B37&lt;=Параметры!B39), Параметры!C39, IF(AND(B37&gt;=Параметры!A40, B37&lt;=Параметры!B40), Параметры!C40, IF(AND(B37&gt;=Параметры!A41, B37&lt;=Параметры!B41), Параметры!C41, "")))</f>
        <v>Стандартная заявка</v>
      </c>
    </row>
    <row r="39" spans="1:11" ht="24" hidden="1" customHeight="1" x14ac:dyDescent="0.25">
      <c r="A39" s="13" t="s">
        <v>55</v>
      </c>
      <c r="B39" s="14" t="e">
        <f>IF(#REF!&gt;0,"Сработало hard rule",IF(B37&lt;80,"Низкий поведенческий риск",IF(B37&lt;150,"Средний риск: нужна доп. проверка",IF(B37&lt;250,"Высокий риск: ручная проверка antifraud","Критический риск: рекомендован отказ"))))</f>
        <v>#REF!</v>
      </c>
    </row>
  </sheetData>
  <mergeCells count="5">
    <mergeCell ref="A1:K1"/>
    <mergeCell ref="A2:K2"/>
    <mergeCell ref="A4:K4"/>
    <mergeCell ref="A21:K21"/>
    <mergeCell ref="A34:K34"/>
  </mergeCells>
  <conditionalFormatting sqref="B38">
    <cfRule type="expression" dxfId="2" priority="1">
      <formula>ISNUMBER(SEARCH("Отказ",B38))</formula>
    </cfRule>
    <cfRule type="expression" dxfId="1" priority="2">
      <formula>ISNUMBER(SEARCH("Дополнительная",B38))</formula>
    </cfRule>
    <cfRule type="expression" dxfId="0" priority="3">
      <formula>ISNUMBER(SEARCH("Стандартная",B38))</formula>
    </cfRule>
  </conditionalFormatting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showGridLines="0" topLeftCell="A13" workbookViewId="0">
      <selection activeCell="G23" sqref="G23"/>
    </sheetView>
  </sheetViews>
  <sheetFormatPr defaultRowHeight="15" x14ac:dyDescent="0.25"/>
  <cols>
    <col min="1" max="2" width="44" customWidth="1"/>
    <col min="3" max="3" width="25.140625" customWidth="1"/>
    <col min="4" max="4" width="14" customWidth="1"/>
    <col min="5" max="5" width="20" customWidth="1"/>
    <col min="6" max="6" width="28" customWidth="1"/>
  </cols>
  <sheetData>
    <row r="1" spans="1:6" ht="24" customHeight="1" x14ac:dyDescent="0.25">
      <c r="A1" s="23" t="s">
        <v>56</v>
      </c>
      <c r="B1" s="23"/>
      <c r="C1" s="20"/>
      <c r="D1" s="20"/>
      <c r="E1" s="20"/>
      <c r="F1" s="20"/>
    </row>
    <row r="2" spans="1:6" ht="24" customHeight="1" x14ac:dyDescent="0.25"/>
    <row r="3" spans="1:6" ht="24" customHeight="1" thickBot="1" x14ac:dyDescent="0.3">
      <c r="A3" s="15" t="s">
        <v>95</v>
      </c>
      <c r="B3" s="15" t="s">
        <v>57</v>
      </c>
      <c r="C3" s="15" t="s">
        <v>96</v>
      </c>
      <c r="D3" s="15"/>
      <c r="E3" s="1"/>
      <c r="F3" s="1"/>
    </row>
    <row r="4" spans="1:6" ht="24" customHeight="1" x14ac:dyDescent="0.25">
      <c r="A4" s="16" t="s">
        <v>58</v>
      </c>
      <c r="B4" s="28">
        <v>1000000</v>
      </c>
      <c r="C4" s="29">
        <v>0</v>
      </c>
      <c r="D4" s="26"/>
      <c r="E4" s="27"/>
      <c r="F4" s="27"/>
    </row>
    <row r="5" spans="1:6" ht="24" customHeight="1" x14ac:dyDescent="0.25">
      <c r="A5" s="16" t="s">
        <v>106</v>
      </c>
      <c r="B5" s="17">
        <v>1250000</v>
      </c>
      <c r="C5" s="17">
        <v>10</v>
      </c>
      <c r="D5" s="17"/>
    </row>
    <row r="6" spans="1:6" ht="24" customHeight="1" x14ac:dyDescent="0.25">
      <c r="A6" s="16" t="s">
        <v>59</v>
      </c>
      <c r="B6" s="17">
        <v>1500000</v>
      </c>
      <c r="C6" s="17">
        <v>30</v>
      </c>
      <c r="D6" s="17"/>
    </row>
    <row r="7" spans="1:6" ht="24" customHeight="1" x14ac:dyDescent="0.25">
      <c r="A7" s="16" t="s">
        <v>60</v>
      </c>
      <c r="B7" s="17">
        <v>4000000</v>
      </c>
      <c r="C7" s="17">
        <v>70</v>
      </c>
      <c r="D7" s="17"/>
    </row>
    <row r="8" spans="1:6" ht="24" customHeight="1" x14ac:dyDescent="0.25">
      <c r="A8" s="16" t="s">
        <v>61</v>
      </c>
      <c r="B8" s="17">
        <v>8000000</v>
      </c>
      <c r="C8" s="17">
        <v>120</v>
      </c>
      <c r="D8" s="17"/>
    </row>
    <row r="9" spans="1:6" ht="24" customHeight="1" x14ac:dyDescent="0.25"/>
    <row r="10" spans="1:6" ht="24" customHeight="1" x14ac:dyDescent="0.25"/>
    <row r="11" spans="1:6" ht="24" customHeight="1" thickBot="1" x14ac:dyDescent="0.3">
      <c r="A11" s="15" t="s">
        <v>110</v>
      </c>
      <c r="B11" s="15"/>
      <c r="C11" s="15" t="s">
        <v>96</v>
      </c>
      <c r="D11" s="1"/>
      <c r="E11" s="1"/>
      <c r="F11" s="1"/>
    </row>
    <row r="12" spans="1:6" ht="24" customHeight="1" x14ac:dyDescent="0.25">
      <c r="A12" s="33" t="s">
        <v>101</v>
      </c>
      <c r="B12" s="33" t="s">
        <v>100</v>
      </c>
      <c r="C12" s="33" t="s">
        <v>102</v>
      </c>
    </row>
    <row r="13" spans="1:6" ht="24" customHeight="1" x14ac:dyDescent="0.25">
      <c r="A13" s="16">
        <v>0</v>
      </c>
      <c r="B13" s="16">
        <v>0</v>
      </c>
      <c r="C13" s="16">
        <v>0</v>
      </c>
    </row>
    <row r="14" spans="1:6" ht="24" customHeight="1" x14ac:dyDescent="0.25">
      <c r="A14" s="16">
        <v>1</v>
      </c>
      <c r="B14" s="16">
        <v>4</v>
      </c>
      <c r="C14" s="17">
        <v>10</v>
      </c>
    </row>
    <row r="15" spans="1:6" ht="24" customHeight="1" x14ac:dyDescent="0.25">
      <c r="A15" s="16">
        <v>5</v>
      </c>
      <c r="B15" s="16">
        <v>7</v>
      </c>
      <c r="C15" s="17">
        <v>20</v>
      </c>
    </row>
    <row r="16" spans="1:6" ht="24" customHeight="1" x14ac:dyDescent="0.25">
      <c r="A16" s="16">
        <v>8</v>
      </c>
      <c r="B16" s="16">
        <v>10</v>
      </c>
      <c r="C16" s="17">
        <v>50</v>
      </c>
    </row>
    <row r="17" spans="1:6" ht="24" customHeight="1" x14ac:dyDescent="0.25">
      <c r="A17" s="16">
        <v>11</v>
      </c>
      <c r="B17" s="16">
        <v>100000</v>
      </c>
      <c r="C17" s="17">
        <v>90</v>
      </c>
    </row>
    <row r="18" spans="1:6" ht="24" customHeight="1" x14ac:dyDescent="0.25"/>
    <row r="19" spans="1:6" ht="24" customHeight="1" x14ac:dyDescent="0.25"/>
    <row r="20" spans="1:6" ht="24" customHeight="1" thickBot="1" x14ac:dyDescent="0.3">
      <c r="A20" s="15" t="s">
        <v>9</v>
      </c>
      <c r="B20" s="15" t="s">
        <v>67</v>
      </c>
      <c r="C20" s="15"/>
      <c r="D20" s="1"/>
      <c r="E20" s="15" t="s">
        <v>10</v>
      </c>
      <c r="F20" s="15" t="s">
        <v>67</v>
      </c>
    </row>
    <row r="21" spans="1:6" ht="24" customHeight="1" x14ac:dyDescent="0.25">
      <c r="A21" s="16" t="s">
        <v>12</v>
      </c>
      <c r="B21" s="32">
        <v>1</v>
      </c>
      <c r="C21" s="17"/>
      <c r="E21" s="16" t="s">
        <v>14</v>
      </c>
      <c r="F21" s="32">
        <v>2</v>
      </c>
    </row>
    <row r="22" spans="1:6" ht="24" customHeight="1" x14ac:dyDescent="0.25">
      <c r="A22" s="16" t="s">
        <v>16</v>
      </c>
      <c r="B22" s="32">
        <v>1.5</v>
      </c>
      <c r="C22" s="24"/>
      <c r="E22" s="16" t="s">
        <v>121</v>
      </c>
      <c r="F22" s="32">
        <v>1.5</v>
      </c>
    </row>
    <row r="23" spans="1:6" ht="24" customHeight="1" x14ac:dyDescent="0.25">
      <c r="A23" s="16" t="s">
        <v>17</v>
      </c>
      <c r="B23" s="32">
        <v>1.75</v>
      </c>
      <c r="C23" s="17"/>
      <c r="E23" s="16" t="s">
        <v>15</v>
      </c>
      <c r="F23" s="32">
        <v>1</v>
      </c>
    </row>
    <row r="24" spans="1:6" ht="24" customHeight="1" x14ac:dyDescent="0.25">
      <c r="A24" s="16" t="s">
        <v>18</v>
      </c>
      <c r="B24" s="32">
        <v>2</v>
      </c>
      <c r="C24" s="24"/>
    </row>
    <row r="25" spans="1:6" ht="24" customHeight="1" x14ac:dyDescent="0.25"/>
    <row r="26" spans="1:6" ht="24" customHeight="1" x14ac:dyDescent="0.25"/>
    <row r="27" spans="1:6" ht="24" customHeight="1" thickBot="1" x14ac:dyDescent="0.3">
      <c r="A27" s="15" t="s">
        <v>68</v>
      </c>
      <c r="B27" s="15" t="s">
        <v>24</v>
      </c>
      <c r="C27" s="15"/>
      <c r="D27" s="1"/>
      <c r="E27" s="15"/>
      <c r="F27" s="15"/>
    </row>
    <row r="28" spans="1:6" ht="24" customHeight="1" x14ac:dyDescent="0.25">
      <c r="A28" s="16" t="s">
        <v>114</v>
      </c>
      <c r="B28" s="16">
        <v>50</v>
      </c>
      <c r="C28" s="17"/>
      <c r="D28" s="16"/>
      <c r="E28" s="16"/>
      <c r="F28" s="17"/>
    </row>
    <row r="29" spans="1:6" ht="24" customHeight="1" x14ac:dyDescent="0.25">
      <c r="A29" s="16" t="s">
        <v>115</v>
      </c>
      <c r="B29" s="16">
        <v>70</v>
      </c>
      <c r="C29" s="17"/>
      <c r="D29" s="16"/>
      <c r="E29" s="16"/>
      <c r="F29" s="17"/>
    </row>
    <row r="30" spans="1:6" ht="24" customHeight="1" x14ac:dyDescent="0.25">
      <c r="A30" s="16" t="s">
        <v>116</v>
      </c>
      <c r="B30" s="16">
        <v>50</v>
      </c>
      <c r="C30" s="17"/>
      <c r="D30" s="16"/>
      <c r="E30" s="16"/>
      <c r="F30" s="17"/>
    </row>
    <row r="31" spans="1:6" ht="24" customHeight="1" x14ac:dyDescent="0.25">
      <c r="A31" s="16" t="s">
        <v>117</v>
      </c>
      <c r="B31" s="16">
        <v>40</v>
      </c>
      <c r="C31" s="17"/>
      <c r="E31" s="16"/>
      <c r="F31" s="16"/>
    </row>
    <row r="32" spans="1:6" ht="24" customHeight="1" x14ac:dyDescent="0.25">
      <c r="A32" s="16" t="s">
        <v>97</v>
      </c>
      <c r="B32" s="16">
        <v>90</v>
      </c>
      <c r="C32" s="17"/>
      <c r="E32" s="16"/>
      <c r="F32" s="16"/>
    </row>
    <row r="33" spans="1:6" ht="24" customHeight="1" x14ac:dyDescent="0.25">
      <c r="A33" s="16" t="s">
        <v>118</v>
      </c>
      <c r="B33" s="16">
        <v>30</v>
      </c>
      <c r="C33" s="17"/>
      <c r="E33" s="16"/>
      <c r="F33" s="16"/>
    </row>
    <row r="34" spans="1:6" ht="24" customHeight="1" x14ac:dyDescent="0.25">
      <c r="A34" s="16"/>
      <c r="B34" s="16"/>
      <c r="C34" s="17"/>
      <c r="E34" s="16"/>
      <c r="F34" s="16"/>
    </row>
    <row r="35" spans="1:6" ht="24" customHeight="1" x14ac:dyDescent="0.25">
      <c r="A35" s="16"/>
      <c r="B35" s="16"/>
      <c r="C35" s="17"/>
    </row>
    <row r="37" spans="1:6" ht="15.75" thickBot="1" x14ac:dyDescent="0.3">
      <c r="A37" s="15" t="s">
        <v>69</v>
      </c>
      <c r="B37" s="15"/>
      <c r="C37" s="15" t="s">
        <v>54</v>
      </c>
    </row>
    <row r="38" spans="1:6" x14ac:dyDescent="0.25">
      <c r="A38" s="33" t="s">
        <v>101</v>
      </c>
      <c r="B38" s="33" t="s">
        <v>100</v>
      </c>
      <c r="C38" s="33" t="s">
        <v>102</v>
      </c>
    </row>
    <row r="39" spans="1:6" x14ac:dyDescent="0.25">
      <c r="A39" s="16">
        <v>0</v>
      </c>
      <c r="B39" s="16">
        <v>79</v>
      </c>
      <c r="C39" s="33" t="s">
        <v>72</v>
      </c>
    </row>
    <row r="40" spans="1:6" x14ac:dyDescent="0.25">
      <c r="A40" s="16">
        <v>80</v>
      </c>
      <c r="B40" s="16">
        <v>249</v>
      </c>
      <c r="C40" s="33" t="s">
        <v>112</v>
      </c>
    </row>
    <row r="41" spans="1:6" x14ac:dyDescent="0.25">
      <c r="A41" s="16">
        <v>250</v>
      </c>
      <c r="B41" s="16">
        <v>1000</v>
      </c>
      <c r="C41" s="33" t="s">
        <v>113</v>
      </c>
    </row>
    <row r="42" spans="1:6" x14ac:dyDescent="0.25">
      <c r="A42" s="16"/>
      <c r="B42" s="16"/>
      <c r="C42" s="16"/>
    </row>
  </sheetData>
  <mergeCells count="1">
    <mergeCell ref="A1:F1"/>
  </mergeCells>
  <pageMargins left="0.75" right="0.75" top="1" bottom="1" header="0.5" footer="0.5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workbookViewId="0">
      <selection activeCell="B21" sqref="B21"/>
    </sheetView>
  </sheetViews>
  <sheetFormatPr defaultRowHeight="15" x14ac:dyDescent="0.25"/>
  <cols>
    <col min="1" max="1" width="44" customWidth="1"/>
    <col min="2" max="2" width="16" customWidth="1"/>
    <col min="3" max="3" width="14" customWidth="1"/>
    <col min="4" max="4" width="20" customWidth="1"/>
    <col min="5" max="5" width="28" customWidth="1"/>
  </cols>
  <sheetData>
    <row r="1" spans="1:5" ht="24" customHeight="1" x14ac:dyDescent="0.25">
      <c r="A1" s="23" t="s">
        <v>56</v>
      </c>
      <c r="B1" s="20"/>
      <c r="C1" s="20"/>
      <c r="D1" s="20"/>
      <c r="E1" s="20"/>
    </row>
    <row r="2" spans="1:5" ht="24" customHeight="1" x14ac:dyDescent="0.25"/>
    <row r="3" spans="1:5" ht="24" customHeight="1" thickBot="1" x14ac:dyDescent="0.3">
      <c r="A3" s="15" t="s">
        <v>95</v>
      </c>
      <c r="B3" s="15" t="s">
        <v>57</v>
      </c>
      <c r="C3" s="15" t="s">
        <v>96</v>
      </c>
      <c r="D3" s="1"/>
      <c r="E3" s="1"/>
    </row>
    <row r="4" spans="1:5" ht="24" customHeight="1" x14ac:dyDescent="0.25">
      <c r="A4" s="16" t="s">
        <v>58</v>
      </c>
      <c r="B4" s="17">
        <v>1500000</v>
      </c>
      <c r="C4" s="17">
        <v>10</v>
      </c>
    </row>
    <row r="5" spans="1:5" ht="24" customHeight="1" x14ac:dyDescent="0.25">
      <c r="A5" s="16" t="s">
        <v>59</v>
      </c>
      <c r="B5" s="17">
        <v>1500000</v>
      </c>
      <c r="C5" s="17">
        <v>30</v>
      </c>
    </row>
    <row r="6" spans="1:5" ht="24" customHeight="1" x14ac:dyDescent="0.25">
      <c r="A6" s="16" t="s">
        <v>60</v>
      </c>
      <c r="B6" s="17">
        <v>2000000</v>
      </c>
      <c r="C6" s="17">
        <v>70</v>
      </c>
    </row>
    <row r="7" spans="1:5" ht="24" customHeight="1" x14ac:dyDescent="0.25">
      <c r="A7" s="16" t="s">
        <v>61</v>
      </c>
      <c r="B7" s="17">
        <v>8000000</v>
      </c>
      <c r="C7" s="17">
        <v>120</v>
      </c>
    </row>
    <row r="8" spans="1:5" ht="24" customHeight="1" x14ac:dyDescent="0.25"/>
    <row r="9" spans="1:5" ht="24" customHeight="1" x14ac:dyDescent="0.25"/>
    <row r="10" spans="1:5" ht="24" customHeight="1" thickBot="1" x14ac:dyDescent="0.3">
      <c r="A10" s="15" t="s">
        <v>62</v>
      </c>
      <c r="B10" s="15" t="s">
        <v>96</v>
      </c>
      <c r="C10" s="1"/>
      <c r="D10" s="1"/>
      <c r="E10" s="1"/>
    </row>
    <row r="11" spans="1:5" ht="24" customHeight="1" x14ac:dyDescent="0.25">
      <c r="A11" s="16" t="s">
        <v>63</v>
      </c>
      <c r="B11" s="17">
        <v>10</v>
      </c>
    </row>
    <row r="12" spans="1:5" ht="24" customHeight="1" x14ac:dyDescent="0.25">
      <c r="A12" s="16" t="s">
        <v>64</v>
      </c>
      <c r="B12" s="17">
        <v>20</v>
      </c>
    </row>
    <row r="13" spans="1:5" ht="24" customHeight="1" x14ac:dyDescent="0.25">
      <c r="A13" s="16" t="s">
        <v>65</v>
      </c>
      <c r="B13" s="17">
        <v>50</v>
      </c>
    </row>
    <row r="14" spans="1:5" ht="24" customHeight="1" x14ac:dyDescent="0.25">
      <c r="A14" s="16" t="s">
        <v>66</v>
      </c>
      <c r="B14" s="17">
        <v>90</v>
      </c>
    </row>
    <row r="15" spans="1:5" ht="24" customHeight="1" x14ac:dyDescent="0.25"/>
    <row r="16" spans="1:5" ht="24" customHeight="1" x14ac:dyDescent="0.25"/>
    <row r="17" spans="1:5" ht="24" customHeight="1" thickBot="1" x14ac:dyDescent="0.3">
      <c r="A17" s="15" t="s">
        <v>9</v>
      </c>
      <c r="B17" s="15" t="s">
        <v>67</v>
      </c>
      <c r="C17" s="1"/>
      <c r="D17" s="15" t="s">
        <v>10</v>
      </c>
      <c r="E17" s="15" t="s">
        <v>67</v>
      </c>
    </row>
    <row r="18" spans="1:5" ht="24" customHeight="1" x14ac:dyDescent="0.25">
      <c r="A18" s="16" t="s">
        <v>12</v>
      </c>
      <c r="B18" s="17">
        <v>1</v>
      </c>
      <c r="D18" s="16" t="s">
        <v>13</v>
      </c>
      <c r="E18" s="17">
        <v>2</v>
      </c>
    </row>
    <row r="19" spans="1:5" ht="24" customHeight="1" x14ac:dyDescent="0.25">
      <c r="A19" s="16" t="s">
        <v>16</v>
      </c>
      <c r="B19" s="17">
        <v>2</v>
      </c>
      <c r="D19" s="16" t="s">
        <v>14</v>
      </c>
      <c r="E19" s="17">
        <v>1.5</v>
      </c>
    </row>
    <row r="20" spans="1:5" ht="24" customHeight="1" x14ac:dyDescent="0.25">
      <c r="A20" s="16" t="s">
        <v>17</v>
      </c>
      <c r="B20" s="17">
        <v>3</v>
      </c>
      <c r="D20" s="16" t="s">
        <v>15</v>
      </c>
      <c r="E20" s="17">
        <v>1</v>
      </c>
    </row>
    <row r="21" spans="1:5" ht="24" customHeight="1" x14ac:dyDescent="0.25">
      <c r="A21" s="16" t="s">
        <v>18</v>
      </c>
      <c r="B21" s="17">
        <v>5</v>
      </c>
    </row>
    <row r="22" spans="1:5" ht="24" customHeight="1" x14ac:dyDescent="0.25"/>
    <row r="23" spans="1:5" ht="24" customHeight="1" x14ac:dyDescent="0.25"/>
    <row r="24" spans="1:5" ht="24" customHeight="1" thickBot="1" x14ac:dyDescent="0.3">
      <c r="A24" s="15" t="s">
        <v>68</v>
      </c>
      <c r="B24" s="15" t="s">
        <v>24</v>
      </c>
      <c r="C24" s="1"/>
      <c r="D24" s="15" t="s">
        <v>69</v>
      </c>
      <c r="E24" s="15" t="s">
        <v>54</v>
      </c>
    </row>
    <row r="25" spans="1:5" ht="24" customHeight="1" x14ac:dyDescent="0.25">
      <c r="A25" s="16" t="s">
        <v>70</v>
      </c>
      <c r="B25" s="17">
        <v>50</v>
      </c>
      <c r="D25" s="16" t="s">
        <v>71</v>
      </c>
      <c r="E25" s="16" t="s">
        <v>72</v>
      </c>
    </row>
    <row r="26" spans="1:5" ht="24" customHeight="1" x14ac:dyDescent="0.25">
      <c r="A26" s="16" t="s">
        <v>73</v>
      </c>
      <c r="B26" s="17">
        <v>70</v>
      </c>
      <c r="D26" s="16" t="s">
        <v>74</v>
      </c>
      <c r="E26" s="16" t="s">
        <v>75</v>
      </c>
    </row>
    <row r="27" spans="1:5" ht="24" customHeight="1" x14ac:dyDescent="0.25">
      <c r="A27" s="16" t="s">
        <v>30</v>
      </c>
      <c r="B27" s="17">
        <v>100</v>
      </c>
      <c r="D27" s="16" t="s">
        <v>76</v>
      </c>
      <c r="E27" s="16" t="s">
        <v>77</v>
      </c>
    </row>
    <row r="28" spans="1:5" ht="24" customHeight="1" x14ac:dyDescent="0.25">
      <c r="A28" s="16" t="s">
        <v>32</v>
      </c>
      <c r="B28" s="17">
        <v>120</v>
      </c>
      <c r="D28" s="16" t="s">
        <v>78</v>
      </c>
      <c r="E28" s="16" t="s">
        <v>79</v>
      </c>
    </row>
    <row r="29" spans="1:5" ht="24" customHeight="1" x14ac:dyDescent="0.25">
      <c r="A29" s="16" t="s">
        <v>35</v>
      </c>
      <c r="B29" s="17">
        <v>70</v>
      </c>
    </row>
  </sheetData>
  <mergeCells count="1">
    <mergeCell ref="A1:E1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selection activeCell="B10" sqref="B10"/>
    </sheetView>
  </sheetViews>
  <sheetFormatPr defaultRowHeight="15" x14ac:dyDescent="0.25"/>
  <cols>
    <col min="1" max="1" width="24" customWidth="1"/>
    <col min="2" max="2" width="80" customWidth="1"/>
    <col min="3" max="4" width="20" customWidth="1"/>
  </cols>
  <sheetData>
    <row r="1" spans="1:4" ht="24" customHeight="1" x14ac:dyDescent="0.25">
      <c r="A1" s="19" t="s">
        <v>80</v>
      </c>
      <c r="B1" s="20"/>
      <c r="C1" s="20"/>
      <c r="D1" s="20"/>
    </row>
    <row r="2" spans="1:4" ht="24" customHeight="1" x14ac:dyDescent="0.25">
      <c r="A2" s="1" t="s">
        <v>81</v>
      </c>
      <c r="B2" s="1" t="s">
        <v>82</v>
      </c>
      <c r="C2" s="1"/>
      <c r="D2" s="1"/>
    </row>
    <row r="3" spans="1:4" ht="58.5" customHeight="1" x14ac:dyDescent="0.25">
      <c r="A3" s="18" t="s">
        <v>83</v>
      </c>
      <c r="B3" s="18" t="s">
        <v>104</v>
      </c>
    </row>
    <row r="4" spans="1:4" ht="24" customHeight="1" x14ac:dyDescent="0.25">
      <c r="A4" s="18" t="s">
        <v>84</v>
      </c>
      <c r="B4" s="18" t="s">
        <v>85</v>
      </c>
    </row>
    <row r="5" spans="1:4" ht="24" customHeight="1" x14ac:dyDescent="0.25">
      <c r="A5" s="18" t="s">
        <v>86</v>
      </c>
      <c r="B5" s="18" t="s">
        <v>105</v>
      </c>
    </row>
    <row r="6" spans="1:4" ht="24" customHeight="1" x14ac:dyDescent="0.25">
      <c r="A6" s="18" t="s">
        <v>8</v>
      </c>
      <c r="B6" s="18" t="s">
        <v>87</v>
      </c>
    </row>
    <row r="7" spans="1:4" ht="24" customHeight="1" x14ac:dyDescent="0.25">
      <c r="A7" s="18" t="s">
        <v>88</v>
      </c>
      <c r="B7" s="18" t="s">
        <v>89</v>
      </c>
    </row>
    <row r="8" spans="1:4" ht="39.75" customHeight="1" x14ac:dyDescent="0.25">
      <c r="A8" s="18" t="s">
        <v>90</v>
      </c>
      <c r="B8" s="18" t="s">
        <v>91</v>
      </c>
    </row>
    <row r="9" spans="1:4" ht="24" customHeight="1" x14ac:dyDescent="0.25">
      <c r="A9" s="18" t="s">
        <v>92</v>
      </c>
      <c r="B9" s="18" t="s">
        <v>93</v>
      </c>
    </row>
    <row r="10" spans="1:4" ht="57.75" customHeight="1" x14ac:dyDescent="0.25">
      <c r="A10" s="34" t="s">
        <v>123</v>
      </c>
      <c r="B10" s="34" t="s">
        <v>124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Калькулятор_исх</vt:lpstr>
      <vt:lpstr>Калькулятор</vt:lpstr>
      <vt:lpstr>Параметры</vt:lpstr>
      <vt:lpstr>Параметры_исх</vt:lpstr>
      <vt:lpstr>Методология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Персонал1</cp:lastModifiedBy>
  <dcterms:created xsi:type="dcterms:W3CDTF">2026-05-06T10:13:28Z</dcterms:created>
  <dcterms:modified xsi:type="dcterms:W3CDTF">2026-05-08T11:11:46Z</dcterms:modified>
</cp:coreProperties>
</file>